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07fdf9a3bd47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PERC Horno" sheetId="1" r:id="Rc3a8928d99a844a7"/>
    <x:sheet xmlns:r="http://schemas.openxmlformats.org/officeDocument/2006/relationships" name="Criterios IPERC" sheetId="2" r:id="R33ec74c851a84d0a"/>
    <x:sheet xmlns:r="http://schemas.openxmlformats.org/officeDocument/2006/relationships" name="Registro y seguimiento" sheetId="3" r:id="R7c8cbb34c2074fcc"/>
    <x:sheet xmlns:r="http://schemas.openxmlformats.org/officeDocument/2006/relationships" name="HAZOP - Estudio" sheetId="4" r:id="R425b170859d840d8"/>
    <x:sheet xmlns:r="http://schemas.openxmlformats.org/officeDocument/2006/relationships" name="HAZOP - Criterios" sheetId="5" r:id="R1b080ca53a0d4b4d"/>
    <x:sheet xmlns:r="http://schemas.openxmlformats.org/officeDocument/2006/relationships" name="HAZOP - Acciones" sheetId="6" r:id="R43e8bd8a7f774ecc"/>
    <x:sheet xmlns:r="http://schemas.openxmlformats.org/officeDocument/2006/relationships" name="HAZOP 16 nodos" sheetId="7" r:id="R90534b6aa13c44ab"/>
    <x:sheet xmlns:r="http://schemas.openxmlformats.org/officeDocument/2006/relationships" name="HAZOP 16 criterios" sheetId="8" r:id="R7988ae1879944c15"/>
    <x:sheet xmlns:r="http://schemas.openxmlformats.org/officeDocument/2006/relationships" name="HAZOP 16 índice" sheetId="9" r:id="Rd7111f015e29474a"/>
  </x:sheets>
</x:workbook>
</file>

<file path=xl/sharedStrings.xml><?xml version="1.0" encoding="utf-8"?>
<x:sst xmlns:x="http://schemas.openxmlformats.org/spreadsheetml/2006/main">
  <x:si>
    <x:t xml:space="preserve">IPERC LÍNEA BASE — PROTOTIPO DE HORNO ELÉCTRICO CON CONTROL PID</x:t>
  </x:si>
  <x:si>
    <x:t xml:space="preserve">Proyecto académico | Curado de barniz aislante en bobinados de motores eléctricos | Revisión 00 | 08/10/2026</x:t>
  </x:si>
  <x:si>
    <x:t xml:space="preserve">Código documento</x:t>
  </x:si>
  <x:si>
    <x:t xml:space="preserve">IPERC-HORNO-001</x:t>
  </x:si>
  <x:si>
    <x:t xml:space="preserve">Equipo evaluador</x:t>
  </x:si>
  <x:si>
    <x:t xml:space="preserve">Equipo de proyecto</x:t>
  </x:si>
  <x:si>
    <x:t xml:space="preserve">Versión</x:t>
  </x:si>
  <x:si>
    <x:t xml:space="preserve">00</x:t>
  </x:si>
  <x:si>
    <x:t xml:space="preserve">Seguridad</x:t>
  </x:si>
  <x:si>
    <x:t xml:space="preserve">Responsable SST del taller</x:t>
  </x:si>
  <x:si>
    <x:t xml:space="preserve">Proceso</x:t>
  </x:si>
  <x:si>
    <x:t xml:space="preserve">Diseño, fabricación, instalación, pruebas y uso del horno</x:t>
  </x:si>
  <x:si>
    <x:t xml:space="preserve">Supervisión</x:t>
  </x:si>
  <x:si>
    <x:t xml:space="preserve">Docente supervisor</x:t>
  </x:si>
  <x:si>
    <x:t xml:space="preserve">Área</x:t>
  </x:si>
  <x:si>
    <x:t xml:space="preserve">Laboratorio / taller de automatización</x:t>
  </x:si>
  <x:si>
    <x:t xml:space="preserve">Persona expuesta</x:t>
  </x:si>
  <x:si>
    <x:t xml:space="preserve">Estudiantes / técnicos / visitantes autorizados</x:t>
  </x:si>
  <x:si>
    <x:t xml:space="preserve">Responsable</x:t>
  </x:si>
  <x:si>
    <x:t xml:space="preserve">Equipo de proyecto y docente supervisor</x:t>
  </x:si>
  <x:si>
    <x:t xml:space="preserve">Norma de referencia</x:t>
  </x:si>
  <x:si>
    <x:t xml:space="preserve">ISO 45001 y normativa SST aplicable</x:t>
  </x:si>
  <x:si>
    <x:t xml:space="preserve">Estado</x:t>
  </x:si>
  <x:si>
    <x:t xml:space="preserve">Evaluación preliminar; requiere inspección en campo</x:t>
  </x:si>
  <x:si>
    <x:t xml:space="preserve">Equipo crítico</x:t>
  </x:si>
  <x:si>
    <x:t xml:space="preserve">220 VCA, 24 VCC, halógenas 2×500 W, SSR, PLC</x:t>
  </x:si>
  <x:si>
    <x:t xml:space="preserve">Jerarquía: eliminación → sustitución → ingeniería / aislamiento → controles administrativos → EPP | Riesgo inicial y residual: P × C.</x:t>
  </x:si>
  <x:si>
    <x:t xml:space="preserve">Escala propuesta: P=1 rara, 2 improbable, 3 posible, 4 probable, 5 frecuente; C=1 leve, 2 menor, 3 moderada, 4 grave, 5 fatal/crítica; niveles: 1–4 BAJO, 5–9 MEDIO, 10–16 ALTO, 17–25 CRÍTICO.</x:t>
  </x:si>
  <x:si>
    <x:t xml:space="preserve">N°</x:t>
  </x:si>
  <x:si>
    <x:t xml:space="preserve">Subproceso / Etapa</x:t>
  </x:si>
  <x:si>
    <x:t xml:space="preserve">N° tarea</x:t>
  </x:si>
  <x:si>
    <x:t xml:space="preserve">Tarea / actividad</x:t>
  </x:si>
  <x:si>
    <x:t xml:space="preserve">R / NR</x:t>
  </x:si>
  <x:si>
    <x:t xml:space="preserve">Parte afectada</x:t>
  </x:si>
  <x:si>
    <x:t xml:space="preserve">HSEC</x:t>
  </x:si>
  <x:si>
    <x:t xml:space="preserve">Peligro / aspecto</x:t>
  </x:si>
  <x:si>
    <x:t xml:space="preserve">Origen</x:t>
  </x:si>
  <x:si>
    <x:t xml:space="preserve">Riesgo / impacto</x:t>
  </x:si>
  <x:si>
    <x:t xml:space="preserve">Consecuencia</x:t>
  </x:si>
  <x:si>
    <x:t xml:space="preserve">Derecho asociado</x:t>
  </x:si>
  <x:si>
    <x:t xml:space="preserve">P inicial</x:t>
  </x:si>
  <x:si>
    <x:t xml:space="preserve">C inicial</x:t>
  </x:si>
  <x:si>
    <x:t xml:space="preserve">Nivel inicial</x:t>
  </x:si>
  <x:si>
    <x:t xml:space="preserve">Eliminación</x:t>
  </x:si>
  <x:si>
    <x:t xml:space="preserve">Sustitución</x:t>
  </x:si>
  <x:si>
    <x:t xml:space="preserve">Ingeniería / aislamiento</x:t>
  </x:si>
  <x:si>
    <x:t xml:space="preserve">Administrativos</x:t>
  </x:si>
  <x:si>
    <x:t xml:space="preserve">EPP</x:t>
  </x:si>
  <x:si>
    <x:t xml:space="preserve">P residual</x:t>
  </x:si>
  <x:si>
    <x:t xml:space="preserve">C residual</x:t>
  </x:si>
  <x:si>
    <x:t xml:space="preserve">Nivel residual</x:t>
  </x:si>
  <x:si>
    <x:t xml:space="preserve">Código plan</x:t>
  </x:si>
  <x:si>
    <x:t xml:space="preserve">Acción de mejora / evidencia</x:t>
  </x:si>
  <x:si>
    <x:t xml:space="preserve">Plazo / hito</x:t>
  </x:si>
  <x:si>
    <x:t xml:space="preserve">Planificación</x:t>
  </x:si>
  <x:si>
    <x:t xml:space="preserve">Revisión técnica y de seguridad</x:t>
  </x:si>
  <x:si>
    <x:t xml:space="preserve">NR</x:t>
  </x:si>
  <x:si>
    <x:t xml:space="preserve">TRABAJADORES</x:t>
  </x:si>
  <x:si>
    <x:t xml:space="preserve">S</x:t>
  </x:si>
  <x:si>
    <x:t xml:space="preserve">Diseño sin análisis de riesgos</x:t>
  </x:si>
  <x:si>
    <x:t xml:space="preserve">INTERNO</x:t>
  </x:si>
  <x:si>
    <x:t xml:space="preserve">Fallas de protección y operación insegura</x:t>
  </x:si>
  <x:si>
    <x:t xml:space="preserve">Lesiones graves; incendio</x:t>
  </x:si>
  <x:si>
    <x:t xml:space="preserve">Vida, salud y trabajo seguro</x:t>
  </x:si>
  <x:si>
    <x:t xml:space="preserve">Excluir soluciones incompatibles</x:t>
  </x:si>
  <x:si>
    <x:t xml:space="preserve">Seleccionar métodos menos peligrosos</x:t>
  </x:si>
  <x:si>
    <x:t xml:space="preserve">Enclavamientos independientes y seccionamiento</x:t>
  </x:si>
  <x:si>
    <x:t xml:space="preserve">Revisión del diseño y aprobación antes de montaje</x:t>
  </x:si>
  <x:si>
    <x:t xml:space="preserve">No aplica</x:t>
  </x:si>
  <x:si>
    <x:t xml:space="preserve">PM-01</x:t>
  </x:si>
  <x:si>
    <x:t xml:space="preserve">Verificar control y registrar evidencia antes de ejecutar</x:t>
  </x:si>
  <x:si>
    <x:t xml:space="preserve">Equipo de proyecto / supervisor</x:t>
  </x:si>
  <x:si>
    <x:t xml:space="preserve">Antes de la tarea</x:t>
  </x:si>
  <x:si>
    <x:t xml:space="preserve">Compras</x:t>
  </x:si>
  <x:si>
    <x:t xml:space="preserve">Selección de lámparas halógenas</x:t>
  </x:si>
  <x:si>
    <x:t xml:space="preserve">Componentes de capacidad/temperatura inadecuada</x:t>
  </x:si>
  <x:si>
    <x:t xml:space="preserve">Rotura, sobrecalentamiento, incendio</x:t>
  </x:si>
  <x:si>
    <x:t xml:space="preserve">Quemaduras y daños</x:t>
  </x:si>
  <x:si>
    <x:t xml:space="preserve">Descartar modelos sin datos verificables</x:t>
  </x:si>
  <x:si>
    <x:t xml:space="preserve">Preferir calentamiento indirecto apto para proceso si corresponde</x:t>
  </x:si>
  <x:si>
    <x:t xml:space="preserve">Pantalla anti-contacto; portalamparas térmicos</x:t>
  </x:si>
  <x:si>
    <x:t xml:space="preserve">Validar fichas y pruebas de compatibilidad con barniz</x:t>
  </x:si>
  <x:si>
    <x:t xml:space="preserve">Guantes para montaje</x:t>
  </x:si>
  <x:si>
    <x:t xml:space="preserve">PM-02</x:t>
  </x:si>
  <x:si>
    <x:t xml:space="preserve">Selección de barniz ROYALAC</x:t>
  </x:si>
  <x:si>
    <x:t xml:space="preserve">H</x:t>
  </x:si>
  <x:si>
    <x:t xml:space="preserve">Vapores/solventes inflamables durante calentamiento</x:t>
  </x:si>
  <x:si>
    <x:t xml:space="preserve">Ignición o deflagración de vapores</x:t>
  </x:si>
  <x:si>
    <x:t xml:space="preserve">Incendio; lesiones graves o fatalidad</x:t>
  </x:si>
  <x:si>
    <x:t xml:space="preserve">Eliminar calentamiento de productos sin FDS y condiciones validadas</x:t>
  </x:si>
  <x:si>
    <x:t xml:space="preserve">Usar formulación menos peligrosa compatible si se acredita</x:t>
  </x:si>
  <x:si>
    <x:t xml:space="preserve">Extracción segura y segregación de fuentes de ignición según evaluación</x:t>
  </x:si>
  <x:si>
    <x:t xml:space="preserve">Revisar FDS/ficha de curado; prohibir pruebas hasta evaluación</x:t>
  </x:si>
  <x:si>
    <x:t xml:space="preserve">Protección indicada en FDS</x:t>
  </x:si>
  <x:si>
    <x:t xml:space="preserve">PM-03</x:t>
  </x:si>
  <x:si>
    <x:t xml:space="preserve">Fabricación</x:t>
  </x:si>
  <x:si>
    <x:t xml:space="preserve">Corte de chapa metálica</x:t>
  </x:si>
  <x:si>
    <x:t xml:space="preserve">Aristas y láminas cortantes</x:t>
  </x:si>
  <x:si>
    <x:t xml:space="preserve">Cortes y laceraciones</x:t>
  </x:si>
  <x:si>
    <x:t xml:space="preserve">Lesión en manos</x:t>
  </x:si>
  <x:si>
    <x:t xml:space="preserve">Comprar chapas precortadas</x:t>
  </x:si>
  <x:si>
    <x:t xml:space="preserve">Herramienta de menor exposición</x:t>
  </x:si>
  <x:si>
    <x:t xml:space="preserve">Fijación y guardas de corte</x:t>
  </x:si>
  <x:si>
    <x:t xml:space="preserve">Inspección de herramientas; capacitación</x:t>
  </x:si>
  <x:si>
    <x:t xml:space="preserve">Guantes anticorte, gafas</x:t>
  </x:si>
  <x:si>
    <x:t xml:space="preserve">PM-04</x:t>
  </x:si>
  <x:si>
    <x:t xml:space="preserve">Taladrado de estructura</x:t>
  </x:si>
  <x:si>
    <x:t xml:space="preserve">Broca giratoria y virutas</x:t>
  </x:si>
  <x:si>
    <x:t xml:space="preserve">Atrapamiento y proyección</x:t>
  </x:si>
  <x:si>
    <x:t xml:space="preserve">Lesión ocular/manos</x:t>
  </x:si>
  <x:si>
    <x:t xml:space="preserve">Prefabricar agujeros</x:t>
  </x:si>
  <x:si>
    <x:t xml:space="preserve">Taladro con mejor resguardo</x:t>
  </x:si>
  <x:si>
    <x:t xml:space="preserve">Prensas de sujeción, guardas</x:t>
  </x:si>
  <x:si>
    <x:t xml:space="preserve">No usar guantes cerca de partes giratorias; sujetar pieza</x:t>
  </x:si>
  <x:si>
    <x:t xml:space="preserve">Gafas y protección auditiva</x:t>
  </x:si>
  <x:si>
    <x:t xml:space="preserve">PM-05</x:t>
  </x:si>
  <x:si>
    <x:t xml:space="preserve">Esmerilado y acabado</x:t>
  </x:si>
  <x:si>
    <x:t xml:space="preserve">Chispas, partículas y ruido</x:t>
  </x:si>
  <x:si>
    <x:t xml:space="preserve">Proyección; incendio; exposición acústica</x:t>
  </x:si>
  <x:si>
    <x:t xml:space="preserve">Cortes, lesiones oculares, hipoacusia</x:t>
  </x:si>
  <x:si>
    <x:t xml:space="preserve">Eliminar esmerilado innecesario</x:t>
  </x:si>
  <x:si>
    <x:t xml:space="preserve">Herramientas menos agresivas</x:t>
  </x:si>
  <x:si>
    <x:t xml:space="preserve">Guardas y pantalla de chispas; retirar inflamables</x:t>
  </x:si>
  <x:si>
    <x:t xml:space="preserve">Permiso de trabajo en caliente, inspección del disco</x:t>
  </x:si>
  <x:si>
    <x:t xml:space="preserve">Pantalla facial, protección auditiva</x:t>
  </x:si>
  <x:si>
    <x:t xml:space="preserve">PM-06</x:t>
  </x:si>
  <x:si>
    <x:t xml:space="preserve">Soldadura de cámara/soportes</x:t>
  </x:si>
  <x:si>
    <x:t xml:space="preserve">Arco eléctrico, humos y metal caliente</x:t>
  </x:si>
  <x:si>
    <x:t xml:space="preserve">Quemaduras, inhalación, incendio</x:t>
  </x:si>
  <x:si>
    <x:t xml:space="preserve">Lesiones graves y enfermedad respiratoria</x:t>
  </x:si>
  <x:si>
    <x:t xml:space="preserve">Uniones atornilladas cuando sean factibles</x:t>
  </x:si>
  <x:si>
    <x:t xml:space="preserve">Proceso de unión menos emisor</x:t>
  </x:si>
  <x:si>
    <x:t xml:space="preserve">Extracción localizada; pantallas resistentes</x:t>
  </x:si>
  <x:si>
    <x:t xml:space="preserve">Trabajo en caliente, vigía, extintor, retirar solventes</x:t>
  </x:si>
  <x:si>
    <x:t xml:space="preserve">Careta, guantes, ropa de soldador</x:t>
  </x:si>
  <x:si>
    <x:t xml:space="preserve">PM-07</x:t>
  </x:si>
  <x:si>
    <x:t xml:space="preserve">Manipulación de chapas y cámara</x:t>
  </x:si>
  <x:si>
    <x:t xml:space="preserve">Bordes, peso y posturas forzadas</x:t>
  </x:si>
  <x:si>
    <x:t xml:space="preserve">Golpes, atrapamiento, trastornos musculares</x:t>
  </x:si>
  <x:si>
    <x:t xml:space="preserve">Contusiones y lesión lumbar</x:t>
  </x:si>
  <x:si>
    <x:t xml:space="preserve">Reducir masa por secciones</x:t>
  </x:si>
  <x:si>
    <x:t xml:space="preserve">Utilizar piezas livianas</x:t>
  </x:si>
  <x:si>
    <x:t xml:space="preserve">Mesas de apoyo y carros</x:t>
  </x:si>
  <x:si>
    <x:t xml:space="preserve">Manipulación en pareja y orden de taller</x:t>
  </x:si>
  <x:si>
    <x:t xml:space="preserve">Botas y guantes</x:t>
  </x:si>
  <x:si>
    <x:t xml:space="preserve">PM-08</x:t>
  </x:si>
  <x:si>
    <x:t xml:space="preserve">Aislamiento</x:t>
  </x:si>
  <x:si>
    <x:t xml:space="preserve">Corte/colocación de aislante</x:t>
  </x:si>
  <x:si>
    <x:t xml:space="preserve">Polvo o fibras respirables e irritantes</x:t>
  </x:si>
  <x:si>
    <x:t xml:space="preserve">Inhalación e irritación de piel/ojos</x:t>
  </x:si>
  <x:si>
    <x:t xml:space="preserve">Irritación y afecciones respiratorias</x:t>
  </x:si>
  <x:si>
    <x:t xml:space="preserve">Evitar materiales friables</x:t>
  </x:si>
  <x:si>
    <x:t xml:space="preserve">Manta encapsulada apta térmicamente</x:t>
  </x:si>
  <x:si>
    <x:t xml:space="preserve">Extracción localizada y encapsulamiento</x:t>
  </x:si>
  <x:si>
    <x:t xml:space="preserve">Seguir FDS del aislante; limpieza húmeda</x:t>
  </x:si>
  <x:si>
    <x:t xml:space="preserve">Respirador y gafas según FDS</x:t>
  </x:si>
  <x:si>
    <x:t xml:space="preserve">PM-09</x:t>
  </x:si>
  <x:si>
    <x:t xml:space="preserve">Montaje de aislamiento</x:t>
  </x:si>
  <x:si>
    <x:t xml:space="preserve">Superficies calientes por puente térmico</x:t>
  </x:si>
  <x:si>
    <x:t xml:space="preserve">Contacto accidental</x:t>
  </x:si>
  <x:si>
    <x:t xml:space="preserve">Quemaduras</x:t>
  </x:si>
  <x:si>
    <x:t xml:space="preserve">Eliminar puentes térmicos</x:t>
  </x:si>
  <x:si>
    <x:t xml:space="preserve">Material con mejor desempeño</x:t>
  </x:si>
  <x:si>
    <x:t xml:space="preserve">Barreras, doble pared, aislamiento</x:t>
  </x:si>
  <x:si>
    <x:t xml:space="preserve">Verificar temperatura superficial en pruebas</x:t>
  </x:si>
  <x:si>
    <x:t xml:space="preserve">Guantes térmicos</x:t>
  </x:si>
  <x:si>
    <x:t xml:space="preserve">PM-10</x:t>
  </x:si>
  <x:si>
    <x:t xml:space="preserve">Montaje mecánico</x:t>
  </x:si>
  <x:si>
    <x:t xml:space="preserve">Instalación de lámparas</x:t>
  </x:si>
  <x:si>
    <x:t xml:space="preserve">Rotura de vidrio y contacto con halógena</x:t>
  </x:si>
  <x:si>
    <x:t xml:space="preserve">Cortes y quemaduras</x:t>
  </x:si>
  <x:si>
    <x:t xml:space="preserve">Lesión ocular y cutánea</x:t>
  </x:si>
  <x:si>
    <x:t xml:space="preserve">No manipular energizado/caliente</x:t>
  </x:si>
  <x:si>
    <x:t xml:space="preserve">Calefactor encapsulado compatible si procede</x:t>
  </x:si>
  <x:si>
    <x:t xml:space="preserve">Rejillas y soportes cerámicos</x:t>
  </x:si>
  <x:si>
    <x:t xml:space="preserve">No tocar cuarzo; reemplazar equipo dañado</x:t>
  </x:si>
  <x:si>
    <x:t xml:space="preserve">Gafas, guantes limpios</x:t>
  </x:si>
  <x:si>
    <x:t xml:space="preserve">PM-11</x:t>
  </x:si>
  <x:si>
    <x:t xml:space="preserve">Colocación de bobinado en cámara</x:t>
  </x:si>
  <x:si>
    <x:t xml:space="preserve">Caída de pieza o puntos de pellizco</x:t>
  </x:si>
  <x:si>
    <x:t xml:space="preserve">Atrapamiento y golpes</x:t>
  </x:si>
  <x:si>
    <x:t xml:space="preserve">Lesión de manos</x:t>
  </x:si>
  <x:si>
    <x:t xml:space="preserve">Diseñar bandeja accesible</x:t>
  </x:si>
  <x:si>
    <x:t xml:space="preserve">Usar carga más liviana en ensayos</x:t>
  </x:si>
  <x:si>
    <x:t xml:space="preserve">Bandeja estable y topes</x:t>
  </x:si>
  <x:si>
    <x:t xml:space="preserve">Inspeccionar capacidad y usar técnica de levante</x:t>
  </x:si>
  <x:si>
    <x:t xml:space="preserve">Guantes y calzado</x:t>
  </x:si>
  <x:si>
    <x:t xml:space="preserve">PM-12</x:t>
  </x:si>
  <x:si>
    <x:t xml:space="preserve">Instalación eléctrica</x:t>
  </x:si>
  <x:si>
    <x:t xml:space="preserve">Intervenir alimentación 220 VCA</x:t>
  </x:si>
  <x:si>
    <x:t xml:space="preserve">Tensión peligrosa y contacto con partes activas</x:t>
  </x:si>
  <x:si>
    <x:t xml:space="preserve">Choque eléctrico / electrocución</x:t>
  </x:si>
  <x:si>
    <x:t xml:space="preserve">Lesión grave o fatalidad</x:t>
  </x:si>
  <x:si>
    <x:t xml:space="preserve">Trabajar desenergizado</x:t>
  </x:si>
  <x:si>
    <x:t xml:space="preserve">Seccionador, barreras, puesta a tierra, diferencial dimensionado</x:t>
  </x:si>
  <x:si>
    <x:t xml:space="preserve">Bloqueo/etiquetado y ausencia de tensión comprobada</x:t>
  </x:si>
  <x:si>
    <x:t xml:space="preserve">EPP eléctrico según evaluación</x:t>
  </x:si>
  <x:si>
    <x:t xml:space="preserve">PM-13</x:t>
  </x:si>
  <x:si>
    <x:t xml:space="preserve">Selección QF y conductores</x:t>
  </x:si>
  <x:si>
    <x:t xml:space="preserve">Protección 32 A sobredimensionada para ramal</x:t>
  </x:si>
  <x:si>
    <x:t xml:space="preserve">Sobrecorriente no despejada; incendio</x:t>
  </x:si>
  <x:si>
    <x:t xml:space="preserve">Incendio, quemaduras</x:t>
  </x:si>
  <x:si>
    <x:t xml:space="preserve">Eliminar cableado sin protección adecuada</x:t>
  </x:si>
  <x:si>
    <x:t xml:space="preserve">Sustituir por protecciones coordinadas</x:t>
  </x:si>
  <x:si>
    <x:t xml:space="preserve">QF de ramal según Iz, cortocircuito y arranque</x:t>
  </x:si>
  <x:si>
    <x:t xml:space="preserve">Cálculo/inspección/ensayo; no asumir C10 definitiva</x:t>
  </x:si>
  <x:si>
    <x:t xml:space="preserve">PM-14</x:t>
  </x:si>
  <x:si>
    <x:t xml:space="preserve">Conexionado de fase y neutro</x:t>
  </x:si>
  <x:si>
    <x:t xml:space="preserve">Borneras flojas y cableado incorrecto</x:t>
  </x:si>
  <x:si>
    <x:t xml:space="preserve">Arco eléctrico, calentamiento</x:t>
  </x:si>
  <x:si>
    <x:t xml:space="preserve">Incendio y choque eléctrico</x:t>
  </x:si>
  <x:si>
    <x:t xml:space="preserve">Eliminar empalmes improvisados</x:t>
  </x:si>
  <x:si>
    <x:t xml:space="preserve">Borneras certificadas</x:t>
  </x:si>
  <x:si>
    <x:t xml:space="preserve">Terminales, apriete y aislación adecuados</x:t>
  </x:si>
  <x:si>
    <x:t xml:space="preserve">Prueba de continuidad, polaridad y apriete</x:t>
  </x:si>
  <x:si>
    <x:t xml:space="preserve">EPP eléctrico según tarea</x:t>
  </x:si>
  <x:si>
    <x:t xml:space="preserve">PM-15</x:t>
  </x:si>
  <x:si>
    <x:t xml:space="preserve">Conexión de estructura metálica</x:t>
  </x:si>
  <x:si>
    <x:t xml:space="preserve">Ausencia de conductor PE</x:t>
  </x:si>
  <x:si>
    <x:t xml:space="preserve">Carcasa energizada por falla</x:t>
  </x:si>
  <x:si>
    <x:t xml:space="preserve">Electrocución</x:t>
  </x:si>
  <x:si>
    <x:t xml:space="preserve">No usar carcasa sin PE</x:t>
  </x:si>
  <x:si>
    <x:t xml:space="preserve">PE continuo, conexión equipotencial</x:t>
  </x:si>
  <x:si>
    <x:t xml:space="preserve">Comprobar continuidad PE</x:t>
  </x:si>
  <x:si>
    <x:t xml:space="preserve">EPP eléctrico</x:t>
  </x:si>
  <x:si>
    <x:t xml:space="preserve">PM-16</x:t>
  </x:si>
  <x:si>
    <x:t xml:space="preserve">Uso de fuente 24 VCC</x:t>
  </x:si>
  <x:si>
    <x:t xml:space="preserve">Fuente insuficiente o sin protección</x:t>
  </x:si>
  <x:si>
    <x:t xml:space="preserve">Sobrecalentamiento / pérdida de control</x:t>
  </x:si>
  <x:si>
    <x:t xml:space="preserve">Incendio y falla del sistema</x:t>
  </x:si>
  <x:si>
    <x:t xml:space="preserve">Eliminar sobrecargas</x:t>
  </x:si>
  <x:si>
    <x:t xml:space="preserve">Fuente industrial adecuada</x:t>
  </x:si>
  <x:si>
    <x:t xml:space="preserve">Protección DC y separación SELV/PELV según diseño</x:t>
  </x:si>
  <x:si>
    <x:t xml:space="preserve">Balance de carga y pruebas</x:t>
  </x:si>
  <x:si>
    <x:t xml:space="preserve">PM-17</x:t>
  </x:si>
  <x:si>
    <x:t xml:space="preserve">Montaje de SSR-01</x:t>
  </x:si>
  <x:si>
    <x:t xml:space="preserve">Disipación térmica inadecuada y sobretensión</x:t>
  </x:si>
  <x:si>
    <x:t xml:space="preserve">Sobrecalentamiento, fallo en conducción</x:t>
  </x:si>
  <x:si>
    <x:t xml:space="preserve">Incendio y calefacción no deseada</x:t>
  </x:si>
  <x:si>
    <x:t xml:space="preserve">Evitar operación sin hoja técnica exacta</x:t>
  </x:si>
  <x:si>
    <x:t xml:space="preserve">Dispositivo compatible y certificado</x:t>
  </x:si>
  <x:si>
    <x:t xml:space="preserve">Disipador calculado; protección; contactor independiente</x:t>
  </x:si>
  <x:si>
    <x:t xml:space="preserve">Verificar parámetros 4-20 mA y ensayo en carga</x:t>
  </x:si>
  <x:si>
    <x:t xml:space="preserve">Guantes en montaje</x:t>
  </x:si>
  <x:si>
    <x:t xml:space="preserve">PM-18</x:t>
  </x:si>
  <x:si>
    <x:t xml:space="preserve">Instalación K-01</x:t>
  </x:si>
  <x:si>
    <x:t xml:space="preserve">Relé genérico con contactos insuficientes</x:t>
  </x:si>
  <x:si>
    <x:t xml:space="preserve">Contactos soldados; no desconexión</x:t>
  </x:si>
  <x:si>
    <x:t xml:space="preserve">Incendio y exposición térmica</x:t>
  </x:si>
  <x:si>
    <x:t xml:space="preserve">Descartar relés sin capacidad de corte</x:t>
  </x:si>
  <x:si>
    <x:t xml:space="preserve">Contactor de potencia adecuado</x:t>
  </x:si>
  <x:si>
    <x:t xml:space="preserve">Corte independiente y dimensionamiento de inrush</x:t>
  </x:si>
  <x:si>
    <x:t xml:space="preserve">Ensayo de apertura y rearme, ficha técnica</x:t>
  </x:si>
  <x:si>
    <x:t xml:space="preserve">PM-19</x:t>
  </x:si>
  <x:si>
    <x:t xml:space="preserve">Control e instrumentación</x:t>
  </x:si>
  <x:si>
    <x:t xml:space="preserve">Conexionado PT100 y TT-23</x:t>
  </x:si>
  <x:si>
    <x:t xml:space="preserve">Cable roto, sensor mal ubicado o descalibrado</x:t>
  </x:si>
  <x:si>
    <x:t xml:space="preserve">Lectura incorrecta; sobrecalentamiento</x:t>
  </x:si>
  <x:si>
    <x:t xml:space="preserve">Daño al bobinado; quemaduras</x:t>
  </x:si>
  <x:si>
    <x:t xml:space="preserve">Eliminar puntos de medición inseguros</x:t>
  </x:si>
  <x:si>
    <x:t xml:space="preserve">Sensor de mayor robustez</x:t>
  </x:si>
  <x:si>
    <x:t xml:space="preserve">Diagnóstico de señal 4-20 mA, montaje adecuado</x:t>
  </x:si>
  <x:si>
    <x:t xml:space="preserve">Calibración y simulación de fallo</x:t>
  </x:si>
  <x:si>
    <x:t xml:space="preserve">Guantes de montaje</x:t>
  </x:si>
  <x:si>
    <x:t xml:space="preserve">PM-20</x:t>
  </x:si>
  <x:si>
    <x:t xml:space="preserve">Programar PID y salidas AO</x:t>
  </x:si>
  <x:si>
    <x:t xml:space="preserve">Escalamiento o sentido de acción incorrecto</x:t>
  </x:si>
  <x:si>
    <x:t xml:space="preserve">Potencia máxima inadvertida</x:t>
  </x:si>
  <x:si>
    <x:t xml:space="preserve">Sobretemperatura e incendio</x:t>
  </x:si>
  <x:si>
    <x:t xml:space="preserve">Bloquear salida hasta prueba de software</x:t>
  </x:si>
  <x:si>
    <x:t xml:space="preserve">Usar módulos AO certificados compatibles</x:t>
  </x:si>
  <x:si>
    <x:t xml:space="preserve">Límites y enclavamientos hardware independientes</x:t>
  </x:si>
  <x:si>
    <x:t xml:space="preserve">Revisión cruzada, prueba en frío, simulación 4-20 mA</x:t>
  </x:si>
  <x:si>
    <x:t xml:space="preserve">PM-21</x:t>
  </x:si>
  <x:si>
    <x:t xml:space="preserve">Comunicación HMI-PROFINET</x:t>
  </x:si>
  <x:si>
    <x:t xml:space="preserve">Comandos erróneos o pérdida de comunicación</x:t>
  </x:si>
  <x:si>
    <x:t xml:space="preserve">Cambio no intencional de consignas</x:t>
  </x:si>
  <x:si>
    <x:t xml:space="preserve">Sobrecalentamiento/paro de lote</x:t>
  </x:si>
  <x:si>
    <x:t xml:space="preserve">Bloquear consignas fuera de rango</x:t>
  </x:si>
  <x:si>
    <x:t xml:space="preserve">Validación de parámetros en PLC; modo seguro por fallo</x:t>
  </x:si>
  <x:si>
    <x:t xml:space="preserve">Control de acceso y pruebas de desconexión</x:t>
  </x:si>
  <x:si>
    <x:t xml:space="preserve">PM-22</x:t>
  </x:si>
  <x:si>
    <x:t xml:space="preserve">Cableado de ventiladores 24 VCC</x:t>
  </x:si>
  <x:si>
    <x:t xml:space="preserve">Contacto eléctrico/atasco de rotor</x:t>
  </x:si>
  <x:si>
    <x:t xml:space="preserve">Cortocircuito y sobrecalentamiento</x:t>
  </x:si>
  <x:si>
    <x:t xml:space="preserve">Lesiones leves e incendio</x:t>
  </x:si>
  <x:si>
    <x:t xml:space="preserve">Separar ventiladores de zona caliente</x:t>
  </x:si>
  <x:si>
    <x:t xml:space="preserve">Ventilador apto para temperatura</x:t>
  </x:si>
  <x:si>
    <x:t xml:space="preserve">Protección por corriente; guarda de aspas</x:t>
  </x:si>
  <x:si>
    <x:t xml:space="preserve">Verificar potencia y caudal</x:t>
  </x:si>
  <x:si>
    <x:t xml:space="preserve">Guantes montaje</x:t>
  </x:si>
  <x:si>
    <x:t xml:space="preserve">PM-23</x:t>
  </x:si>
  <x:si>
    <x:t xml:space="preserve">Protección</x:t>
  </x:si>
  <x:si>
    <x:t xml:space="preserve">Instalar termostato independiente</x:t>
  </x:si>
  <x:si>
    <x:t xml:space="preserve">Setpoint inapropiado o falla de contacto</x:t>
  </x:si>
  <x:si>
    <x:t xml:space="preserve">No cortar por sobretemperatura</x:t>
  </x:si>
  <x:si>
    <x:t xml:space="preserve">Incendio / lesiones graves</x:t>
  </x:si>
  <x:si>
    <x:t xml:space="preserve">Prohibir operación sin termostato</x:t>
  </x:si>
  <x:si>
    <x:t xml:space="preserve">Limitador aprobado apto al proceso</x:t>
  </x:si>
  <x:si>
    <x:t xml:space="preserve">Sensor propio, corte por K-01, diseño a fallo seguro</x:t>
  </x:si>
  <x:si>
    <x:t xml:space="preserve">Prueba funcional por disparo real/simulado</x:t>
  </x:si>
  <x:si>
    <x:t xml:space="preserve">PM-24</x:t>
  </x:si>
  <x:si>
    <x:t xml:space="preserve">Instalar parada de emergencia</x:t>
  </x:si>
  <x:si>
    <x:t xml:space="preserve">Pulsador NC puenteado, sin rearme</x:t>
  </x:si>
  <x:si>
    <x:t xml:space="preserve">Calefacción continúa pese a emergencia</x:t>
  </x:si>
  <x:si>
    <x:t xml:space="preserve">Lesiones graves</x:t>
  </x:si>
  <x:si>
    <x:t xml:space="preserve">Eliminar puentes de prueba antes de uso</x:t>
  </x:si>
  <x:si>
    <x:t xml:space="preserve">Pulsador apto y circuito evaluado</x:t>
  </x:si>
  <x:si>
    <x:t xml:space="preserve">Lazo de seguridad con caída de K-01 y rearme controlado</x:t>
  </x:si>
  <x:si>
    <x:t xml:space="preserve">Prueba de apertura y no reinicio al liberar</x:t>
  </x:si>
  <x:si>
    <x:t xml:space="preserve">PM-25</x:t>
  </x:si>
  <x:si>
    <x:t xml:space="preserve">Pruebas en frío</x:t>
  </x:si>
  <x:si>
    <x:t xml:space="preserve">Verificación antes de energizar</x:t>
  </x:si>
  <x:si>
    <x:t xml:space="preserve">Errores de conexión no detectados</x:t>
  </x:si>
  <x:si>
    <x:t xml:space="preserve">Cortocircuito o contacto accidental</x:t>
  </x:si>
  <x:si>
    <x:t xml:space="preserve">Choque eléctrico/incendio</x:t>
  </x:si>
  <x:si>
    <x:t xml:space="preserve">No energizar con fallas</x:t>
  </x:si>
  <x:si>
    <x:t xml:space="preserve">Prueba PE, aislamiento, fusibles y dispositivos de corte</x:t>
  </x:si>
  <x:si>
    <x:t xml:space="preserve">Lista de chequeo firmada por supervisor</x:t>
  </x:si>
  <x:si>
    <x:t xml:space="preserve">PM-26</x:t>
  </x:si>
  <x:si>
    <x:t xml:space="preserve">Pruebas térmicas</x:t>
  </x:si>
  <x:si>
    <x:t xml:space="preserve">Primer calentamiento sin carga</x:t>
  </x:si>
  <x:si>
    <x:t xml:space="preserve">Temperatura de pared y puntos calientes</x:t>
  </x:si>
  <x:si>
    <x:t xml:space="preserve">Quemaduras e incendio</x:t>
  </x:si>
  <x:si>
    <x:t xml:space="preserve">No permitir acceso a superficies</x:t>
  </x:si>
  <x:si>
    <x:t xml:space="preserve">Barreras térmicas adicionales</x:t>
  </x:si>
  <x:si>
    <x:t xml:space="preserve">Pantallas, aislamiento, medición independiente</x:t>
  </x:si>
  <x:si>
    <x:t xml:space="preserve">Incremento gradual y vigilancia presencial</x:t>
  </x:si>
  <x:si>
    <x:t xml:space="preserve">Guantes térmicos, gafas</x:t>
  </x:si>
  <x:si>
    <x:t xml:space="preserve">PM-27</x:t>
  </x:si>
  <x:si>
    <x:t xml:space="preserve">Pruebas con carga / bobinado</x:t>
  </x:si>
  <x:si>
    <x:t xml:space="preserve">Temperatura del aire no representa núcleo de bobina</x:t>
  </x:si>
  <x:si>
    <x:t xml:space="preserve">Curado insuficiente o degradación de aislamiento</x:t>
  </x:si>
  <x:si>
    <x:t xml:space="preserve">Daño del bobinado, humo</x:t>
  </x:si>
  <x:si>
    <x:t xml:space="preserve">No validar solo con temperatura del aire</x:t>
  </x:si>
  <x:si>
    <x:t xml:space="preserve">Adicionar medición de bobinado para ensayos</x:t>
  </x:si>
  <x:si>
    <x:t xml:space="preserve">Sonda adicional de verificación</x:t>
  </x:si>
  <x:si>
    <x:t xml:space="preserve">Ensayos de uniformidad/tiempo, registrar termografía si procede</x:t>
  </x:si>
  <x:si>
    <x:t xml:space="preserve">PM-28</x:t>
  </x:si>
  <x:si>
    <x:t xml:space="preserve">Apertura de cámara caliente</x:t>
  </x:si>
  <x:si>
    <x:t xml:space="preserve">Radiación térmica, aire y piezas calientes</x:t>
  </x:si>
  <x:si>
    <x:t xml:space="preserve">Quemaduras por contacto o chorro</x:t>
  </x:si>
  <x:si>
    <x:t xml:space="preserve">Quemaduras graves</x:t>
  </x:si>
  <x:si>
    <x:t xml:space="preserve">No abrir hasta temperatura segura</x:t>
  </x:si>
  <x:si>
    <x:t xml:space="preserve">Manija aislada, señalización, barrera</x:t>
  </x:si>
  <x:si>
    <x:t xml:space="preserve">Procedimiento enfriamiento y tiempo mínimo</x:t>
  </x:si>
  <x:si>
    <x:t xml:space="preserve">Guantes térmicos y pantalla</x:t>
  </x:si>
  <x:si>
    <x:t xml:space="preserve">PM-29</x:t>
  </x:si>
  <x:si>
    <x:t xml:space="preserve">Curado</x:t>
  </x:si>
  <x:si>
    <x:t xml:space="preserve">Aplicación/manipulación de barniz</x:t>
  </x:si>
  <x:si>
    <x:t xml:space="preserve">Contacto de solventes con piel y ojos</x:t>
  </x:si>
  <x:si>
    <x:t xml:space="preserve">Irritación, intoxicación</x:t>
  </x:si>
  <x:si>
    <x:t xml:space="preserve">Dermatitis/lesiones oculares</x:t>
  </x:si>
  <x:si>
    <x:t xml:space="preserve">Eliminar manipulación innecesaria</x:t>
  </x:si>
  <x:si>
    <x:t xml:space="preserve">Producto de menor peligro si compatible</x:t>
  </x:si>
  <x:si>
    <x:t xml:space="preserve">Área ventilada; contención de derrames</x:t>
  </x:si>
  <x:si>
    <x:t xml:space="preserve">FDS, etiquetado, almacenamiento seguro</x:t>
  </x:si>
  <x:si>
    <x:t xml:space="preserve">Guantes químicos y gafas según FDS</x:t>
  </x:si>
  <x:si>
    <x:t xml:space="preserve">PM-30</x:t>
  </x:si>
  <x:si>
    <x:t xml:space="preserve">Calentar barniz sobre bobinado</x:t>
  </x:si>
  <x:si>
    <x:t xml:space="preserve">Emisión de COV y vapores</x:t>
  </x:si>
  <x:si>
    <x:t xml:space="preserve">Inhalación y atmósfera inflamable</x:t>
  </x:si>
  <x:si>
    <x:t xml:space="preserve">Intoxicación, incendio o deflagración</x:t>
  </x:si>
  <x:si>
    <x:t xml:space="preserve">No operar hasta caracterizar volatilidad del barniz</x:t>
  </x:si>
  <x:si>
    <x:t xml:space="preserve">Sistema de curado sin fuente de ignición expuesta si necesario</x:t>
  </x:si>
  <x:si>
    <x:t xml:space="preserve">Extracción evaluada; barrera a fuentes de ignición; interbloqueo ventilación si diseño exige</x:t>
  </x:si>
  <x:si>
    <x:t xml:space="preserve">Revisar FDS, clasificación de área, procedimiento y límites de carga</x:t>
  </x:si>
  <x:si>
    <x:t xml:space="preserve">EPP respiratorio solo según evaluación</x:t>
  </x:si>
  <x:si>
    <x:t xml:space="preserve">PM-31</x:t>
  </x:si>
  <x:si>
    <x:t xml:space="preserve">Recirculación de aire caliente</x:t>
  </x:si>
  <x:si>
    <x:t xml:space="preserve">Falla F-01 y calentamiento localizado</x:t>
  </x:si>
  <x:si>
    <x:t xml:space="preserve">Puntos calientes / degradación térmica</x:t>
  </x:si>
  <x:si>
    <x:t xml:space="preserve">Incendio o daño de aislamiento</x:t>
  </x:si>
  <x:si>
    <x:t xml:space="preserve">No operar con recirculación defectuosa</x:t>
  </x:si>
  <x:si>
    <x:t xml:space="preserve">Ventilador de mejor resistencia térmica</x:t>
  </x:si>
  <x:si>
    <x:t xml:space="preserve">Verificación de flujo cuando el riesgo lo exija</x:t>
  </x:si>
  <x:si>
    <x:t xml:space="preserve">Chequeo previo y ensayo de uniformidad</x:t>
  </x:si>
  <x:si>
    <x:t xml:space="preserve">PM-32</x:t>
  </x:si>
  <x:si>
    <x:t xml:space="preserve">Temporización de ciclo</x:t>
  </x:si>
  <x:si>
    <x:t xml:space="preserve">Caída de temperatura durante el conteo</x:t>
  </x:si>
  <x:si>
    <x:t xml:space="preserve">Curado incompleto</x:t>
  </x:si>
  <x:si>
    <x:t xml:space="preserve">Falla eléctrica posterior del bobinado</x:t>
  </x:si>
  <x:si>
    <x:t xml:space="preserve">No aceptar lote sin cumplimiento validado</x:t>
  </x:si>
  <x:si>
    <x:t xml:space="preserve">Reglas de pausa/rearme del temporizador</x:t>
  </x:si>
  <x:si>
    <x:t xml:space="preserve">Validación con ficha de barniz y registro tiempo-temperatura</x:t>
  </x:si>
  <x:si>
    <x:t xml:space="preserve">PM-33</x:t>
  </x:si>
  <x:si>
    <x:t xml:space="preserve">Funcionamiento sin vigilancia</x:t>
  </x:si>
  <x:si>
    <x:t xml:space="preserve">Falla SSR cerrado / corte fallido</x:t>
  </x:si>
  <x:si>
    <x:t xml:space="preserve">Sobretemperatura sostenida</x:t>
  </x:si>
  <x:si>
    <x:t xml:space="preserve">Incendio y lesiones graves</x:t>
  </x:si>
  <x:si>
    <x:t xml:space="preserve">Prohibir operación no atendida en prototipo</x:t>
  </x:si>
  <x:si>
    <x:t xml:space="preserve">Usar fuente de calor más segura si evaluación exige</x:t>
  </x:si>
  <x:si>
    <x:t xml:space="preserve">Termostato independiente, contactor apropiado, protección incendio</x:t>
  </x:si>
  <x:si>
    <x:t xml:space="preserve">Supervisión permanente y protocolo de emergencia</x:t>
  </x:si>
  <x:si>
    <x:t xml:space="preserve">PM-34</x:t>
  </x:si>
  <x:si>
    <x:t xml:space="preserve">Enfriamiento</x:t>
  </x:si>
  <x:si>
    <x:t xml:space="preserve">Activación ventilador F-02</x:t>
  </x:si>
  <x:si>
    <x:t xml:space="preserve">Proyección de aire caliente / ingreso de objetos</x:t>
  </x:si>
  <x:si>
    <x:t xml:space="preserve">Quemaduras / atrapamiento</x:t>
  </x:si>
  <x:si>
    <x:t xml:space="preserve">Lesiones</x:t>
  </x:si>
  <x:si>
    <x:t xml:space="preserve">No acceder durante operación</x:t>
  </x:si>
  <x:si>
    <x:t xml:space="preserve">Guardas y ductos adecuados</x:t>
  </x:si>
  <x:si>
    <x:t xml:space="preserve">Rejilla y ventilador situado fuera de zona caliente</x:t>
  </x:si>
  <x:si>
    <x:t xml:space="preserve">Esperar condición de temperatura segura</x:t>
  </x:si>
  <x:si>
    <x:t xml:space="preserve">PM-35</x:t>
  </x:si>
  <x:si>
    <x:t xml:space="preserve">Manipular producto al terminar</x:t>
  </x:si>
  <x:si>
    <x:t xml:space="preserve">Bobinado reteniendo calor</x:t>
  </x:si>
  <x:si>
    <x:t xml:space="preserve">Contacto térmico</x:t>
  </x:si>
  <x:si>
    <x:t xml:space="preserve">Quemadura de manos</x:t>
  </x:si>
  <x:si>
    <x:t xml:space="preserve">Esperar temperatura segura</x:t>
  </x:si>
  <x:si>
    <x:t xml:space="preserve">Herramienta de extracción</x:t>
  </x:si>
  <x:si>
    <x:t xml:space="preserve">Bandeja y pinzas</x:t>
  </x:si>
  <x:si>
    <x:t xml:space="preserve">Medición de temperatura de pieza antes de retiro</x:t>
  </x:si>
  <x:si>
    <x:t xml:space="preserve">PM-36</x:t>
  </x:si>
  <x:si>
    <x:t xml:space="preserve">Mantenimiento</x:t>
  </x:si>
  <x:si>
    <x:t xml:space="preserve">Inspeccionar lámparas/SSR</x:t>
  </x:si>
  <x:si>
    <x:t xml:space="preserve">Energía residual, elementos calientes</x:t>
  </x:si>
  <x:si>
    <x:t xml:space="preserve">Choque eléctrico/quemaduras</x:t>
  </x:si>
  <x:si>
    <x:t xml:space="preserve">Lesión grave</x:t>
  </x:si>
  <x:si>
    <x:t xml:space="preserve">Mantenimiento en frío/desenergizado</x:t>
  </x:si>
  <x:si>
    <x:t xml:space="preserve">Seccionamiento bloqueable; descarga y verificación de tensión</x:t>
  </x:si>
  <x:si>
    <x:t xml:space="preserve">LOTO, permiso de intervención</x:t>
  </x:si>
  <x:si>
    <x:t xml:space="preserve">EPP según energía</x:t>
  </x:si>
  <x:si>
    <x:t xml:space="preserve">PM-37</x:t>
  </x:si>
  <x:si>
    <x:t xml:space="preserve">Limpieza interior de cámara</x:t>
  </x:si>
  <x:si>
    <x:t xml:space="preserve">Residuos de barniz inflamables</x:t>
  </x:si>
  <x:si>
    <x:t xml:space="preserve">Incendio e inhalación</x:t>
  </x:si>
  <x:si>
    <x:t xml:space="preserve">Quemaduras, irritación</x:t>
  </x:si>
  <x:si>
    <x:t xml:space="preserve">Retirar residuos antes de nuevo lote</x:t>
  </x:si>
  <x:si>
    <x:t xml:space="preserve">Limpiador menos peligroso</x:t>
  </x:si>
  <x:si>
    <x:t xml:space="preserve">Ventilación, recipientes de residuos adecuados</x:t>
  </x:si>
  <x:si>
    <x:t xml:space="preserve">Procedimiento de gestión de residuos y FDS</x:t>
  </x:si>
  <x:si>
    <x:t xml:space="preserve">Guantes y protección según FDS</x:t>
  </x:si>
  <x:si>
    <x:t xml:space="preserve">PM-38</x:t>
  </x:si>
  <x:si>
    <x:t xml:space="preserve">Emergencias</x:t>
  </x:si>
  <x:si>
    <x:t xml:space="preserve">Conato de incendio o humo</x:t>
  </x:si>
  <x:si>
    <x:t xml:space="preserve">Fuentes de ignición y material combustible</x:t>
  </x:si>
  <x:si>
    <x:t xml:space="preserve">Propagación de incendio</x:t>
  </x:si>
  <x:si>
    <x:t xml:space="preserve">Fatalidad/daños a instalaciones</x:t>
  </x:si>
  <x:si>
    <x:t xml:space="preserve">Retirar materiales combustibles</x:t>
  </x:si>
  <x:si>
    <x:t xml:space="preserve">Cambiar sistema si no es compatible</x:t>
  </x:si>
  <x:si>
    <x:t xml:space="preserve">Corte eléctrico accesible y medios contra incendio adecuados</x:t>
  </x:si>
  <x:si>
    <x:t xml:space="preserve">Plan de emergencia, evacuación, capacitación</x:t>
  </x:si>
  <x:si>
    <x:t xml:space="preserve">EPP de brigada autorizada</x:t>
  </x:si>
  <x:si>
    <x:t xml:space="preserve">PM-39</x:t>
  </x:si>
  <x:si>
    <x:t xml:space="preserve">Ambiental</x:t>
  </x:si>
  <x:si>
    <x:t xml:space="preserve">Gestión de residuos eléctricos/químicos</x:t>
  </x:si>
  <x:si>
    <x:t xml:space="preserve">TRABAJADORES / ENTORNO</x:t>
  </x:si>
  <x:si>
    <x:t xml:space="preserve">E</x:t>
  </x:si>
  <x:si>
    <x:t xml:space="preserve">Lámparas, cables y residuos de barniz</x:t>
  </x:si>
  <x:si>
    <x:t xml:space="preserve">Disposición inadecuada y contaminación</x:t>
  </x:si>
  <x:si>
    <x:t xml:space="preserve">Contaminación ambiental</x:t>
  </x:si>
  <x:si>
    <x:t xml:space="preserve">Ambiente sano</x:t>
  </x:si>
  <x:si>
    <x:t xml:space="preserve">Reducir residuos</x:t>
  </x:si>
  <x:si>
    <x:t xml:space="preserve">Consumibles menos peligrosos</x:t>
  </x:si>
  <x:si>
    <x:t xml:space="preserve">Contenedores segregados y herméticos para solventes</x:t>
  </x:si>
  <x:si>
    <x:t xml:space="preserve">Gestor autorizado conforme clasificación de residuo</x:t>
  </x:si>
  <x:si>
    <x:t xml:space="preserve">Guantes según residuo</x:t>
  </x:si>
  <x:si>
    <x:t xml:space="preserve">PM-40</x:t>
  </x:si>
  <x:si>
    <x:t xml:space="preserve">Operación</x:t>
  </x:si>
  <x:si>
    <x:t xml:space="preserve">Orden y limpieza de taller</x:t>
  </x:si>
  <x:si>
    <x:t xml:space="preserve">Cables en piso y materiales dispersos</x:t>
  </x:si>
  <x:si>
    <x:t xml:space="preserve">Tropiezos / caída al mismo nivel</x:t>
  </x:si>
  <x:si>
    <x:t xml:space="preserve">Contusiones</x:t>
  </x:si>
  <x:si>
    <x:t xml:space="preserve">Eliminar obstáculos</x:t>
  </x:si>
  <x:si>
    <x:t xml:space="preserve">Cableado en canaletas</x:t>
  </x:si>
  <x:si>
    <x:t xml:space="preserve">Canalizaciones y almacenamiento</x:t>
  </x:si>
  <x:si>
    <x:t xml:space="preserve">Inspección 5S y rutas despejadas</x:t>
  </x:si>
  <x:si>
    <x:t xml:space="preserve">Calzado de seguridad</x:t>
  </x:si>
  <x:si>
    <x:t xml:space="preserve">PM-41</x:t>
  </x:si>
  <x:si>
    <x:t xml:space="preserve">PROBABILIDAD</x:t>
  </x:si>
  <x:si>
    <x:t xml:space="preserve">DESCRIPCIÓN</x:t>
  </x:si>
  <x:si>
    <x:t xml:space="preserve">CONSECUENCIA</x:t>
  </x:si>
  <x:si>
    <x:t xml:space="preserve">NIVEL DE RIESGO</x:t>
  </x:si>
  <x:si>
    <x:t xml:space="preserve">Rara</x:t>
  </x:si>
  <x:si>
    <x:t xml:space="preserve">Leve</x:t>
  </x:si>
  <x:si>
    <x:t xml:space="preserve">1–4: BAJO</x:t>
  </x:si>
  <x:si>
    <x:t xml:space="preserve">Improbable</x:t>
  </x:si>
  <x:si>
    <x:t xml:space="preserve">Menor</x:t>
  </x:si>
  <x:si>
    <x:t xml:space="preserve">5–9: MEDIO</x:t>
  </x:si>
  <x:si>
    <x:t xml:space="preserve">Posible</x:t>
  </x:si>
  <x:si>
    <x:t xml:space="preserve">Moderada</x:t>
  </x:si>
  <x:si>
    <x:t xml:space="preserve">10–16: ALTO</x:t>
  </x:si>
  <x:si>
    <x:t xml:space="preserve">Probable</x:t>
  </x:si>
  <x:si>
    <x:t xml:space="preserve">Grave</x:t>
  </x:si>
  <x:si>
    <x:t xml:space="preserve">17–25: CRÍTICO</x:t>
  </x:si>
  <x:si>
    <x:t xml:space="preserve">Frecuente</x:t>
  </x:si>
  <x:si>
    <x:t xml:space="preserve">Fatal / crítica</x:t>
  </x:si>
  <x:si>
    <x:t xml:space="preserve">Riesgo = P × C</x:t>
  </x:si>
  <x:si>
    <x:t xml:space="preserve">CRITERIOS DE JERARQUÍA Y USO DEL FORMATO</x:t>
  </x:si>
  <x:si>
    <x:t xml:space="preserve">Peligro</x:t>
  </x:si>
  <x:si>
    <x:t xml:space="preserve">Fuente o situación con capacidad de causar daño</x:t>
  </x:si>
  <x:si>
    <x:t xml:space="preserve">Riesgo</x:t>
  </x:si>
  <x:si>
    <x:t xml:space="preserve">Suceso potencial generado por la exposición al peligro</x:t>
  </x:si>
  <x:si>
    <x:t xml:space="preserve">Evaluación inicial</x:t>
  </x:si>
  <x:si>
    <x:t xml:space="preserve">Valoración antes de implantar los controles descritos</x:t>
  </x:si>
  <x:si>
    <x:t xml:space="preserve">Evaluación residual</x:t>
  </x:si>
  <x:si>
    <x:t xml:space="preserve">Valoración estimada tras implantar y verificar todos los controles</x:t>
  </x:si>
  <x:si>
    <x:t xml:space="preserve">No autorización</x:t>
  </x:si>
  <x:si>
    <x:t xml:space="preserve">Si un riesgo crítico carece de protección probada, NO realizar la actividad</x:t>
  </x:si>
  <x:si>
    <x:t xml:space="preserve">Control de riesgo</x:t>
  </x:si>
  <x:si>
    <x:t xml:space="preserve">Eliminación, sustitución, ingeniería, administrativos, EPP</x:t>
  </x:si>
  <x:si>
    <x:t xml:space="preserve">Responsables</x:t>
  </x:si>
  <x:si>
    <x:t xml:space="preserve">Roles funcionales; nombres de evaluadores reales deben anotarse tras evaluación</x:t>
  </x:si>
  <x:si>
    <x:t xml:space="preserve">Marco normativo</x:t>
  </x:si>
  <x:si>
    <x:t xml:space="preserve">IPERC es herramienta de SST asociada a ISO 45001; ISO 9001 es gestión de calidad</x:t>
  </x:si>
  <x:si>
    <x:t xml:space="preserve">Advertencia</x:t>
  </x:si>
  <x:si>
    <x:t xml:space="preserve">La matriz es propuesta de línea base documental, no verificación en sitio ni certificación ISO</x:t>
  </x:si>
  <x:si>
    <x:t xml:space="preserve">Riesgos químicos</x:t>
  </x:si>
  <x:si>
    <x:t xml:space="preserve">Revisar ficha técnica y FDS del barniz antes de autorizar curado con halógenas</x:t>
  </x:si>
  <x:si>
    <x:t xml:space="preserve">Protección SSR</x:t>
  </x:si>
  <x:si>
    <x:t xml:space="preserve">Un SSR puede fallar en conducción: corte independiente obligatorio</x:t>
  </x:si>
  <x:si>
    <x:t xml:space="preserve">Puntuaciones</x:t>
  </x:si>
  <x:si>
    <x:t xml:space="preserve">P/C son estimaciones iniciales sujetas a evaluación del responsable SST</x:t>
  </x:si>
  <x:si>
    <x:t xml:space="preserve">Códigos</x:t>
  </x:si>
  <x:si>
    <x:t xml:space="preserve">HSEC: S seguridad, H salud, E ambiente; R rutinaria, NR no rutinaria</x:t>
  </x:si>
  <x:si>
    <x:t xml:space="preserve">PLAN DE ACCIÓN Y SEGUIMIENTO — IPERC HORNO ELÉCTRICO</x:t>
  </x:si>
  <x:si>
    <x:t xml:space="preserve">Código</x:t>
  </x:si>
  <x:si>
    <x:t xml:space="preserve">Peligro prioritario</x:t>
  </x:si>
  <x:si>
    <x:t xml:space="preserve">Acción verificable</x:t>
  </x:si>
  <x:si>
    <x:t xml:space="preserve">Fecha objetivo</x:t>
  </x:si>
  <x:si>
    <x:t xml:space="preserve">Evidencia esperada</x:t>
  </x:si>
  <x:si>
    <x:t xml:space="preserve">Observaciones</x:t>
  </x:si>
  <x:si>
    <x:t xml:space="preserve">Barniz y vapores inflamables</x:t>
  </x:si>
  <x:si>
    <x:t xml:space="preserve">Obtener FDS ROYALAC, validar método seguro de curado antes de energizar</x:t>
  </x:si>
  <x:si>
    <x:t xml:space="preserve">Responsable SST / docente</x:t>
  </x:si>
  <x:si>
    <x:t xml:space="preserve">Antes de pruebas</x:t>
  </x:si>
  <x:si>
    <x:t xml:space="preserve">No iniciado</x:t>
  </x:si>
  <x:si>
    <x:t xml:space="preserve">FDS; análisis compatibilidad</x:t>
  </x:si>
  <x:si>
    <x:t xml:space="preserve">Bloquea prueba con barniz</x:t>
  </x:si>
  <x:si>
    <x:t xml:space="preserve">Protección del ramal</x:t>
  </x:si>
  <x:si>
    <x:t xml:space="preserve">Dimensionar QF02 y conductores considerando inrush, Iz y cortocircuito</x:t>
  </x:si>
  <x:si>
    <x:t xml:space="preserve">Responsable eléctrico</x:t>
  </x:si>
  <x:si>
    <x:t xml:space="preserve">Antes de energizar</x:t>
  </x:si>
  <x:si>
    <x:t xml:space="preserve">Memoria de cálculo; ficha QF</x:t>
  </x:si>
  <x:si>
    <x:t xml:space="preserve">No usar solo C32</x:t>
  </x:si>
  <x:si>
    <x:t xml:space="preserve">SSR y térmica</x:t>
  </x:si>
  <x:si>
    <x:t xml:space="preserve">Validar ficha exacta SSR y dimensionamiento del disipador</x:t>
  </x:si>
  <x:si>
    <x:t xml:space="preserve">Ficha fabricante; ensayo</x:t>
  </x:si>
  <x:si>
    <x:t xml:space="preserve">Contactor K01</x:t>
  </x:si>
  <x:si>
    <x:t xml:space="preserve">Seleccionar contactor compatible con corriente de arranque y fallo seguro</x:t>
  </x:si>
  <x:si>
    <x:t xml:space="preserve">Ficha y prueba de apertura</x:t>
  </x:si>
  <x:si>
    <x:t xml:space="preserve">No relé genérico sin capacidad</x:t>
  </x:si>
  <x:si>
    <x:t xml:space="preserve">Termostato</x:t>
  </x:si>
  <x:si>
    <x:t xml:space="preserve">Definir umbral por análisis y probar corte autónomo</x:t>
  </x:si>
  <x:si>
    <x:t xml:space="preserve">Responsable seguridad</x:t>
  </x:si>
  <x:si>
    <x:t xml:space="preserve">Antes de calentamiento</x:t>
  </x:si>
  <x:si>
    <x:t xml:space="preserve">Protocolo prueba</x:t>
  </x:si>
  <x:si>
    <x:t xml:space="preserve">Parada emergencia</x:t>
  </x:si>
  <x:si>
    <x:t xml:space="preserve">Validar circuito de seguridad y rearme manual</x:t>
  </x:si>
  <x:si>
    <x:t xml:space="preserve">Responsable eléctrico/SST</x:t>
  </x:si>
  <x:si>
    <x:t xml:space="preserve">Registro de prueba</x:t>
  </x:si>
  <x:si>
    <x:t xml:space="preserve">Temperatura del bobinado</x:t>
  </x:si>
  <x:si>
    <x:t xml:space="preserve">Verificar temperatura real del bobinado y uniformidad</x:t>
  </x:si>
  <x:si>
    <x:t xml:space="preserve">Responsable ensayos</x:t>
  </x:si>
  <x:si>
    <x:t xml:space="preserve">Antes de curado</x:t>
  </x:si>
  <x:si>
    <x:t xml:space="preserve">Registro térmico</x:t>
  </x:si>
  <x:si>
    <x:t xml:space="preserve">Emisiones en curado</x:t>
  </x:si>
  <x:si>
    <x:t xml:space="preserve">Determinar extracción compatible con FDS y riesgos de ignición</x:t>
  </x:si>
  <x:si>
    <x:t xml:space="preserve">Responsable SST</x:t>
  </x:si>
  <x:si>
    <x:t xml:space="preserve">Evaluación ventilación</x:t>
  </x:si>
  <x:si>
    <x:t xml:space="preserve">Operación no vigilada</x:t>
  </x:si>
  <x:si>
    <x:t xml:space="preserve">Implantar supervisión permanente durante ensayos</x:t>
  </x:si>
  <x:si>
    <x:t xml:space="preserve">Procedimiento de ensayo</x:t>
  </x:si>
  <x:si>
    <x:t xml:space="preserve">ESTUDIO HAZOP — HORNO ELÉCTRICO CON CONTROL PID / PLC SIEMENS S7-1200</x:t>
  </x:si>
  <x:si>
    <x:t xml:space="preserve">Análisis preliminar de desviaciones | Base: IPERC-HORNO-001 | Rev. 00 | 12/10/2026 | NO CONSTITUYE APROBACIÓN PARA OPERAR</x:t>
  </x:si>
  <x:si>
    <x:t xml:space="preserve">Documento: HAZOP-HORNO-001</x:t>
  </x:si>
  <x:si>
    <x:t xml:space="preserve">Proceso: prototipo de curado de barniz; 220 VCA / 24 VCC</x:t>
  </x:si>
  <x:si>
    <x:t xml:space="preserve">Método: palabra guía + parámetro + desviación + causas + consecuencias</x:t>
  </x:si>
  <x:si>
    <x:t xml:space="preserve">Estado: preliminar; salvaguardas sujetas a pruebas</x:t>
  </x:si>
  <x:si>
    <x:t xml:space="preserve">CRITERIO: valoración P×C referencial de 1–5 tomada del IPERC; el HAZOP es cualitativo y esta puntuación es una ayuda para priorizar, NO una validación de seguridad.</x:t>
  </x:si>
  <x:si>
    <x:t xml:space="preserve">ADVERTENCIA: no ensayar con barniz hasta validar FDS, fuentes de ignición, ventilación y método seguro. No energizar sin verificar desconexión, cableado y protecciones.</x:t>
  </x:si>
  <x:si>
    <x:t xml:space="preserve">RIESGOS Y DESVIACIONES — REGISTRO DE ESTUDIO</x:t>
  </x:si>
  <x:si>
    <x:t xml:space="preserve">Valoración inicial (P,C) y residual condicionado a CONTROLES VERIFICADOS</x:t>
  </x:si>
  <x:si>
    <x:t xml:space="preserve">Trazabilidad y seguimiento</x:t>
  </x:si>
  <x:si>
    <x:t xml:space="preserve">ID</x:t>
  </x:si>
  <x:si>
    <x:t xml:space="preserve">Nodo de estudio</x:t>
  </x:si>
  <x:si>
    <x:t xml:space="preserve">Parámetro</x:t>
  </x:si>
  <x:si>
    <x:t xml:space="preserve">Palabra guía</x:t>
  </x:si>
  <x:si>
    <x:t xml:space="preserve">Desviación</x:t>
  </x:si>
  <x:si>
    <x:t xml:space="preserve">Causas posibles</x:t>
  </x:si>
  <x:si>
    <x:t xml:space="preserve">Consecuencias posibles</x:t>
  </x:si>
  <x:si>
    <x:t xml:space="preserve">Salvaguardas previstas / identificadas</x:t>
  </x:si>
  <x:si>
    <x:t xml:space="preserve">Acciones y recomendaciones</x:t>
  </x:si>
  <x:si>
    <x:t xml:space="preserve">NR inicial</x:t>
  </x:si>
  <x:si>
    <x:t xml:space="preserve">Clase inicial</x:t>
  </x:si>
  <x:si>
    <x:t xml:space="preserve">P residual*</x:t>
  </x:si>
  <x:si>
    <x:t xml:space="preserve">C residual*</x:t>
  </x:si>
  <x:si>
    <x:t xml:space="preserve">NR residual*</x:t>
  </x:si>
  <x:si>
    <x:t xml:space="preserve">Clase residual*</x:t>
  </x:si>
  <x:si>
    <x:t xml:space="preserve">Ref. IPERC</x:t>
  </x:si>
  <x:si>
    <x:t xml:space="preserve">Responsable (rol)</x:t>
  </x:si>
  <x:si>
    <x:t xml:space="preserve">Momento / hito</x:t>
  </x:si>
  <x:si>
    <x:t xml:space="preserve">Prioridad</x:t>
  </x:si>
  <x:si>
    <x:t xml:space="preserve">HZ-01</x:t>
  </x:si>
  <x:si>
    <x:t xml:space="preserve">N1 Calefacción y cámara</x:t>
  </x:si>
  <x:si>
    <x:t xml:space="preserve">Temperatura</x:t>
  </x:si>
  <x:si>
    <x:t xml:space="preserve">MÁS</x:t>
  </x:si>
  <x:si>
    <x:t xml:space="preserve">Temperatura del aire superior a consigna</x:t>
  </x:si>
  <x:si>
    <x:t xml:space="preserve">PID mal sintonizado; SSR conduce continuamente; PT100 descalibrada</x:t>
  </x:si>
  <x:si>
    <x:t xml:space="preserve">Sobrecalentamiento, quemaduras, daño de componentes; incendio</x:t>
  </x:si>
  <x:si>
    <x:t xml:space="preserve">Alarma de alta temperatura prevista; termostato independiente TSHH-01 y contactor K-01 previstos</x:t>
  </x:si>
  <x:si>
    <x:t xml:space="preserve">Ensayar corte autónomo de K-01; validar falla SSR cerrado y límites de temperatura</x:t>
  </x:si>
  <x:si>
    <x:t xml:space="preserve">PM-18, PM-19, PM-24</x:t>
  </x:si>
  <x:si>
    <x:t xml:space="preserve">Automatización / SST</x:t>
  </x:si>
  <x:si>
    <x:t xml:space="preserve">Pendiente</x:t>
  </x:si>
  <x:si>
    <x:t xml:space="preserve">HZ-02</x:t>
  </x:si>
  <x:si>
    <x:t xml:space="preserve">MENOS</x:t>
  </x:si>
  <x:si>
    <x:t xml:space="preserve">Calentamiento insuficiente</x:t>
  </x:si>
  <x:si>
    <x:t xml:space="preserve">Lámpara abierta; baja potencia; pérdidas térmicas altas</x:t>
  </x:si>
  <x:si>
    <x:t xml:space="preserve">Curado insuficiente, reproceso, consumo improductivo</x:t>
  </x:si>
  <x:si>
    <x:t xml:space="preserve">Visualización de temperatura y estado prevista</x:t>
  </x:si>
  <x:si>
    <x:t xml:space="preserve">Probar potencia y curva térmica en vacío; definir criterio de fallo por tiempo a consigna</x:t>
  </x:si>
  <x:si>
    <x:t xml:space="preserve">Ensayos</x:t>
  </x:si>
  <x:si>
    <x:t xml:space="preserve">Antes de FAT</x:t>
  </x:si>
  <x:si>
    <x:t xml:space="preserve">HZ-03</x:t>
  </x:si>
  <x:si>
    <x:t xml:space="preserve">DESIGUAL</x:t>
  </x:si>
  <x:si>
    <x:t xml:space="preserve">Distribución térmica no uniforme</x:t>
  </x:si>
  <x:si>
    <x:t xml:space="preserve">Posición de lámparas; recirculación deficiente; geometría de cámara</x:t>
  </x:si>
  <x:si>
    <x:t xml:space="preserve">Bobinado parcialmente curado; zonas sobrecalentadas</x:t>
  </x:si>
  <x:si>
    <x:t xml:space="preserve">Ventilador de recirculación F-01 previsto</x:t>
  </x:si>
  <x:si>
    <x:t xml:space="preserve">Ensayo multipunto con carga representativa; medir temperatura del bobinado</x:t>
  </x:si>
  <x:si>
    <x:t xml:space="preserve">HZ-04</x:t>
  </x:si>
  <x:si>
    <x:t xml:space="preserve">Potencia</x:t>
  </x:si>
  <x:si>
    <x:t xml:space="preserve">Potencia no comandada al calefactor</x:t>
  </x:si>
  <x:si>
    <x:t xml:space="preserve">SSR fallado en conducción; cableado erróneo; señal analógica errática</x:t>
  </x:si>
  <x:si>
    <x:t xml:space="preserve">Calentamiento fuera de control; riesgo de incendio</x:t>
  </x:si>
  <x:si>
    <x:t xml:space="preserve">K-01 y TSHH-01 independientes previstos</x:t>
  </x:si>
  <x:si>
    <x:t xml:space="preserve">Comprobar SSR en estado de fallo, corte por contactor y ausencia de reinicio</x:t>
  </x:si>
  <x:si>
    <x:t xml:space="preserve">PM-18, PM-19</x:t>
  </x:si>
  <x:si>
    <x:t xml:space="preserve">Eléctrico / SST</x:t>
  </x:si>
  <x:si>
    <x:t xml:space="preserve">HZ-05</x:t>
  </x:si>
  <x:si>
    <x:t xml:space="preserve">NO</x:t>
  </x:si>
  <x:si>
    <x:t xml:space="preserve">Sin alimentación al calefactor</x:t>
  </x:si>
  <x:si>
    <x:t xml:space="preserve">QF-02 abierto; K-01 desenergizado; lámpara rota; fallo 4–20 mA</x:t>
  </x:si>
  <x:si>
    <x:t xml:space="preserve">Ciclo incompleto; producto no curado</x:t>
  </x:si>
  <x:si>
    <x:t xml:space="preserve">Alarmas de proceso y supervisión PLC previstas</x:t>
  </x:si>
  <x:si>
    <x:t xml:space="preserve">Diferenciar bloqueo seguro de avería; registrar causa y detener temporización</x:t>
  </x:si>
  <x:si>
    <x:t xml:space="preserve">PM-14, PM-19</x:t>
  </x:si>
  <x:si>
    <x:t xml:space="preserve">Automatización</x:t>
  </x:si>
  <x:si>
    <x:t xml:space="preserve">Durante integración</x:t>
  </x:si>
  <x:si>
    <x:t xml:space="preserve">HZ-06</x:t>
  </x:si>
  <x:si>
    <x:t xml:space="preserve">Radiación térmica</x:t>
  </x:si>
  <x:si>
    <x:t xml:space="preserve">OTRO</x:t>
  </x:si>
  <x:si>
    <x:t xml:space="preserve">Punto de ignición local por superficie de lámpara</x:t>
  </x:si>
  <x:si>
    <x:t xml:space="preserve">Temperatura superficial y proximidad a barniz/vapores</x:t>
  </x:si>
  <x:si>
    <x:t xml:space="preserve">Ignición de vapores inflamables; incendio o deflagración</x:t>
  </x:si>
  <x:si>
    <x:t xml:space="preserve">Prohibición preliminar de prueba con barniz pendiente de evaluación</x:t>
  </x:si>
  <x:si>
    <x:t xml:space="preserve">No realizar curado con barniz hasta revisar FDS y demostrar método seguro; sustituir lámparas si corresponde</x:t>
  </x:si>
  <x:si>
    <x:t xml:space="preserve">PM-02, PM-03</x:t>
  </x:si>
  <x:si>
    <x:t xml:space="preserve">SST / Diseño</x:t>
  </x:si>
  <x:si>
    <x:t xml:space="preserve">Bloqueante antes de curado</x:t>
  </x:si>
  <x:si>
    <x:t xml:space="preserve">BLOQUEANTE</x:t>
  </x:si>
  <x:si>
    <x:t xml:space="preserve">HZ-07</x:t>
  </x:si>
  <x:si>
    <x:t xml:space="preserve">N2 Instrumentación</x:t>
  </x:si>
  <x:si>
    <x:t xml:space="preserve">Señal PT100</x:t>
  </x:si>
  <x:si>
    <x:t xml:space="preserve">Pérdida de señal de temperatura</x:t>
  </x:si>
  <x:si>
    <x:t xml:space="preserve">Conductor abierto; transmisor sin 24 VCC</x:t>
  </x:si>
  <x:si>
    <x:t xml:space="preserve">Control sin PV confiable; riesgo de sobretemperatura</x:t>
  </x:si>
  <x:si>
    <x:t xml:space="preserve">Termostato independiente previsto</x:t>
  </x:si>
  <x:si>
    <x:t xml:space="preserve">Implementar diagnóstico 4–20 mA fuera de rango y bloqueo de demanda</x:t>
  </x:si>
  <x:si>
    <x:t xml:space="preserve">HZ-08</x:t>
  </x:si>
  <x:si>
    <x:t xml:space="preserve">Lectura artificialmente alta</x:t>
  </x:si>
  <x:si>
    <x:t xml:space="preserve">Escalamiento incorrecto; deriva; cableado</x:t>
  </x:si>
  <x:si>
    <x:t xml:space="preserve">Apagado prematuro; curado incompleto</x:t>
  </x:si>
  <x:si>
    <x:t xml:space="preserve">Visualización de PV en HMI prevista</x:t>
  </x:si>
  <x:si>
    <x:t xml:space="preserve">Calibrar lazo TE-23/TT-23/AI con patrón, verificar 0–150 °C</x:t>
  </x:si>
  <x:si>
    <x:t xml:space="preserve">Instrumentación</x:t>
  </x:si>
  <x:si>
    <x:t xml:space="preserve">I/O check</x:t>
  </x:si>
  <x:si>
    <x:t xml:space="preserve">HZ-09</x:t>
  </x:si>
  <x:si>
    <x:t xml:space="preserve">Lectura artificialmente baja</x:t>
  </x:si>
  <x:si>
    <x:t xml:space="preserve">Mala configuración 4–20 mA; sensor mal ubicado</x:t>
  </x:si>
  <x:si>
    <x:t xml:space="preserve">PID aumenta calefacción mientras temperatura real es elevada</x:t>
  </x:si>
  <x:si>
    <x:t xml:space="preserve">TSHH-01 independiente previsto</x:t>
  </x:si>
  <x:si>
    <x:t xml:space="preserve">Prueba de discrepancia con termómetro de referencia; ensayo de falla de señal</x:t>
  </x:si>
  <x:si>
    <x:t xml:space="preserve">PM-24, PM-28</x:t>
  </x:si>
  <x:si>
    <x:t xml:space="preserve">Instrumentación / SST</x:t>
  </x:si>
  <x:si>
    <x:t xml:space="preserve">HZ-10</x:t>
  </x:si>
  <x:si>
    <x:t xml:space="preserve">Temperatura bobinado</x:t>
  </x:si>
  <x:si>
    <x:t xml:space="preserve">Temperatura del bobinado diferente a la del aire</x:t>
  </x:si>
  <x:si>
    <x:t xml:space="preserve">Inercia térmica, posición de carga, recirculación</x:t>
  </x:si>
  <x:si>
    <x:t xml:space="preserve">Subcurado o degradación aislante del bobinado</x:t>
  </x:si>
  <x:si>
    <x:t xml:space="preserve">PT100 mide aire; no bobinado</x:t>
  </x:si>
  <x:si>
    <x:t xml:space="preserve">Instrumentar medición temporal en el bobinado durante validación con carga</x:t>
  </x:si>
  <x:si>
    <x:t xml:space="preserve">HZ-11</x:t>
  </x:si>
  <x:si>
    <x:t xml:space="preserve">N3 Control PID / PLC</x:t>
  </x:si>
  <x:si>
    <x:t xml:space="preserve">Consigna</x:t>
  </x:si>
  <x:si>
    <x:t xml:space="preserve">SP fuera de rango permitido</x:t>
  </x:si>
  <x:si>
    <x:t xml:space="preserve">Entrada HMI incorrecta; falta límites de acceso</x:t>
  </x:si>
  <x:si>
    <x:t xml:space="preserve">Sobretemperatura y afectación del aislamiento</x:t>
  </x:si>
  <x:si>
    <x:t xml:space="preserve">Interfaz HMI y PLC previstos</x:t>
  </x:si>
  <x:si>
    <x:t xml:space="preserve">Limitar SP por software, alarmar cambios y validar parámetros máximos seguros</x:t>
  </x:si>
  <x:si>
    <x:t xml:space="preserve">HZ-12</x:t>
  </x:si>
  <x:si>
    <x:t xml:space="preserve">Salida analógica</x:t>
  </x:si>
  <x:si>
    <x:t xml:space="preserve">INVERSO</x:t>
  </x:si>
  <x:si>
    <x:t xml:space="preserve">Orden de potencia opuesta a la esperada</x:t>
  </x:si>
  <x:si>
    <x:t xml:space="preserve">Escalamiento 4–20 mA mal implementado; polaridad/conexión</x:t>
  </x:si>
  <x:si>
    <x:t xml:space="preserve">Mayor potencia cuando se requiere reducirla</x:t>
  </x:si>
  <x:si>
    <x:t xml:space="preserve">Módulo AO compatible previsto; termostato independiente</x:t>
  </x:si>
  <x:si>
    <x:t xml:space="preserve">Probar 4, 12 y 20 mA y respuesta real SSR sin carga de proceso peligrosa</x:t>
  </x:si>
  <x:si>
    <x:t xml:space="preserve">HZ-13</x:t>
  </x:si>
  <x:si>
    <x:t xml:space="preserve">Control</x:t>
  </x:si>
  <x:si>
    <x:t xml:space="preserve">PLC detenido o sin ejecución PID</x:t>
  </x:si>
  <x:si>
    <x:t xml:space="preserve">Falla CPU; pérdida 24 VCC; error programa</x:t>
  </x:si>
  <x:si>
    <x:t xml:space="preserve">Secuencia interrumpida y salida en estado indefinido</x:t>
  </x:si>
  <x:si>
    <x:t xml:space="preserve">Circuito HS-01/TSHH-01 previsto independiente</x:t>
  </x:si>
  <x:si>
    <x:t xml:space="preserve">Definir estados seguros para pérdida PLC; comprobar caída de K-01 ante falta de alimentación</x:t>
  </x:si>
  <x:si>
    <x:t xml:space="preserve">PM-19, PM-25</x:t>
  </x:si>
  <x:si>
    <x:t xml:space="preserve">HZ-14</x:t>
  </x:si>
  <x:si>
    <x:t xml:space="preserve">Secuencia</x:t>
  </x:si>
  <x:si>
    <x:t xml:space="preserve">ANTES</x:t>
  </x:si>
  <x:si>
    <x:t xml:space="preserve">Temporizador de curado inicia antes de consigna</x:t>
  </x:si>
  <x:si>
    <x:t xml:space="preserve">TON condicionado a Sistema_ON en Ladder preliminar</x:t>
  </x:si>
  <x:si>
    <x:t xml:space="preserve">Tiempo de curado efectivo insuficiente</x:t>
  </x:si>
  <x:si>
    <x:t xml:space="preserve">Secuencia de estados S-02/S-03 prevista</x:t>
  </x:si>
  <x:si>
    <x:t xml:space="preserve">Iniciar conteo solo tras alcanzar SP bajo condiciones validadas; ensayar caídas de PV</x:t>
  </x:si>
  <x:si>
    <x:t xml:space="preserve">HZ-15</x:t>
  </x:si>
  <x:si>
    <x:t xml:space="preserve">DESPUÉS</x:t>
  </x:si>
  <x:si>
    <x:t xml:space="preserve">Calefacción continúa tras fin de tiempo</x:t>
  </x:si>
  <x:si>
    <x:t xml:space="preserve">Fallo de transición S-03 a S-04; enclavamiento</x:t>
  </x:si>
  <x:si>
    <x:t xml:space="preserve">Sobrecurado y daño de carga</x:t>
  </x:si>
  <x:si>
    <x:t xml:space="preserve">Señal Tiempo_Finalizado preliminar</x:t>
  </x:si>
  <x:si>
    <x:t xml:space="preserve">Prueba de secuencia completa y salida analógica nula al finalizar ciclo</x:t>
  </x:si>
  <x:si>
    <x:t xml:space="preserve">HZ-16</x:t>
  </x:si>
  <x:si>
    <x:t xml:space="preserve">Inicio</x:t>
  </x:si>
  <x:si>
    <x:t xml:space="preserve">Reinicio inesperado tras retorno energía</x:t>
  </x:si>
  <x:si>
    <x:t xml:space="preserve">Bit Sistema_ON retenido; rearme automático</x:t>
  </x:si>
  <x:si>
    <x:t xml:space="preserve">Calentamiento sin operador; lesiones</x:t>
  </x:si>
  <x:si>
    <x:t xml:space="preserve">Pulsador arranque y paro preliminares</x:t>
  </x:si>
  <x:si>
    <x:t xml:space="preserve">Enclavamiento de reinicio manual, ensayo de recuperación y arranque en frío</x:t>
  </x:si>
  <x:si>
    <x:t xml:space="preserve">HZ-17</x:t>
  </x:si>
  <x:si>
    <x:t xml:space="preserve">N4 Ventilación</x:t>
  </x:si>
  <x:si>
    <x:t xml:space="preserve">Caudal F-01</x:t>
  </x:si>
  <x:si>
    <x:t xml:space="preserve">Sin recirculación durante calentamiento</x:t>
  </x:si>
  <x:si>
    <x:t xml:space="preserve">Ventilador bloqueado; relé averiado; falla 24 VCC</x:t>
  </x:si>
  <x:si>
    <x:t xml:space="preserve">Puntos calientes y temperatura heterogénea</x:t>
  </x:si>
  <x:si>
    <x:t xml:space="preserve">Mando digital F-01 previsto; sin realimentación confirmada</x:t>
  </x:si>
  <x:si>
    <x:t xml:space="preserve">Añadir detección efectiva de funcionamiento o verificación operativa antes de calentar</x:t>
  </x:si>
  <x:si>
    <x:t xml:space="preserve">Mecánico / Automatización</x:t>
  </x:si>
  <x:si>
    <x:t xml:space="preserve">HZ-18</x:t>
  </x:si>
  <x:si>
    <x:t xml:space="preserve">Caudal F-02</x:t>
  </x:si>
  <x:si>
    <x:t xml:space="preserve">Sin extracción / enfriamiento al finalizar</x:t>
  </x:si>
  <x:si>
    <x:t xml:space="preserve">F-02 detenido; conducto obstruido</x:t>
  </x:si>
  <x:si>
    <x:t xml:space="preserve">Enfriamiento prolongado; exposición a calor; concentración de vapores</x:t>
  </x:si>
  <x:si>
    <x:t xml:space="preserve">Secuencia de enfriamiento S-04 prevista</x:t>
  </x:si>
  <x:si>
    <x:t xml:space="preserve">Verificar caudal real y condiciones de enfriamiento; no asociar F-02 a extracción segura de solventes sin estudio</x:t>
  </x:si>
  <x:si>
    <x:t xml:space="preserve">SST / Integración</x:t>
  </x:si>
  <x:si>
    <x:t xml:space="preserve">HZ-19</x:t>
  </x:si>
  <x:si>
    <x:t xml:space="preserve">Flujo</x:t>
  </x:si>
  <x:si>
    <x:t xml:space="preserve">Flujo de aire en sentido no previsto</x:t>
  </x:si>
  <x:si>
    <x:t xml:space="preserve">Ventiladores montados al revés</x:t>
  </x:si>
  <x:si>
    <x:t xml:space="preserve">Distribución térmica alterada, posible transporte de vapores hacia fuentes calientes</x:t>
  </x:si>
  <x:si>
    <x:t xml:space="preserve">Inspección de montaje prevista</x:t>
  </x:si>
  <x:si>
    <x:t xml:space="preserve">Comprobar dirección del flujo y trazado de ductos durante puesta en marcha</x:t>
  </x:si>
  <x:si>
    <x:t xml:space="preserve">Integración</x:t>
  </x:si>
  <x:si>
    <x:t xml:space="preserve">Loop check</x:t>
  </x:si>
  <x:si>
    <x:t xml:space="preserve">HZ-20</x:t>
  </x:si>
  <x:si>
    <x:t xml:space="preserve">Vapores</x:t>
  </x:si>
  <x:si>
    <x:t xml:space="preserve">Acumulación de vapores de barniz</x:t>
  </x:si>
  <x:si>
    <x:t xml:space="preserve">Ventilación no certificada; barniz solventado; operación cerrada</x:t>
  </x:si>
  <x:si>
    <x:t xml:space="preserve">Atmósfera inflamable; intoxicación; deflagración</x:t>
  </x:si>
  <x:si>
    <x:t xml:space="preserve">Revisión FDS prevista, no demostrada</x:t>
  </x:si>
  <x:si>
    <x:t xml:space="preserve">Evaluar composición de vapores y control de ignición; suspender pruebas hasta método seguro</x:t>
  </x:si>
  <x:si>
    <x:t xml:space="preserve">PM-03, PM-31</x:t>
  </x:si>
  <x:si>
    <x:t xml:space="preserve">SST</x:t>
  </x:si>
  <x:si>
    <x:t xml:space="preserve">HZ-21</x:t>
  </x:si>
  <x:si>
    <x:t xml:space="preserve">N5 Potencia 220 VCA</x:t>
  </x:si>
  <x:si>
    <x:t xml:space="preserve">Corriente</x:t>
  </x:si>
  <x:si>
    <x:t xml:space="preserve">Sobrecorriente por falla o arranque de halógenas</x:t>
  </x:si>
  <x:si>
    <x:t xml:space="preserve">Cortocircuito; inrush elevado; cable subdimensionado</x:t>
  </x:si>
  <x:si>
    <x:t xml:space="preserve">Incendio, disparos intempestivos, daño de cables</x:t>
  </x:si>
  <x:si>
    <x:t xml:space="preserve">QF-01 C32 y QF-02 C10 preliminares</x:t>
  </x:si>
  <x:si>
    <x:t xml:space="preserve">Dimensionar QF-02, sección Iz, capacidad de corte, curvas e inrush</x:t>
  </x:si>
  <x:si>
    <x:t xml:space="preserve">Eléctrico</x:t>
  </x:si>
  <x:si>
    <x:t xml:space="preserve">HZ-22</x:t>
  </x:si>
  <x:si>
    <x:t xml:space="preserve">Tensión</x:t>
  </x:si>
  <x:si>
    <x:t xml:space="preserve">Contacto indirecto con carcasa energizada</x:t>
  </x:si>
  <x:si>
    <x:t xml:space="preserve">Defecto de aislamiento; tierra PE ausente</x:t>
  </x:si>
  <x:si>
    <x:t xml:space="preserve">Choque eléctrico o electrocución</x:t>
  </x:si>
  <x:si>
    <x:t xml:space="preserve">PE previsto, protección diferencial por definir</x:t>
  </x:si>
  <x:si>
    <x:t xml:space="preserve">Medir continuidad PE y verificar protección diferencial y desconexión automática</x:t>
  </x:si>
  <x:si>
    <x:t xml:space="preserve">HZ-23</x:t>
  </x:si>
  <x:si>
    <x:t xml:space="preserve">Interrupción</x:t>
  </x:si>
  <x:si>
    <x:t xml:space="preserve">K-01 no interrumpe realmente calefacción</x:t>
  </x:si>
  <x:si>
    <x:t xml:space="preserve">Contactos soldados; contactor mal seleccionado; cableado puenteado</x:t>
  </x:si>
  <x:si>
    <x:t xml:space="preserve">HS-01/TSHH-01 no eliminan energía térmica</x:t>
  </x:si>
  <x:si>
    <x:t xml:space="preserve">K-01 previsto, no probado</x:t>
  </x:si>
  <x:si>
    <x:t xml:space="preserve">Seleccionar capacidad para inrush y verificar corte físico en ensayo seguro</x:t>
  </x:si>
  <x:si>
    <x:t xml:space="preserve">HZ-24</x:t>
  </x:si>
  <x:si>
    <x:t xml:space="preserve">Alimentación 24V</x:t>
  </x:si>
  <x:si>
    <x:t xml:space="preserve">Pérdida alimentación PLC, HMI y ventiladores</x:t>
  </x:si>
  <x:si>
    <x:t xml:space="preserve">PS-01 averiada; protección abierta</x:t>
  </x:si>
  <x:si>
    <x:t xml:space="preserve">Pérdida control y ventilación, ciclo interrumpido</x:t>
  </x:si>
  <x:si>
    <x:t xml:space="preserve">Fuente PS-01 prevista</x:t>
  </x:si>
  <x:si>
    <x:t xml:space="preserve">Definir fallo seguro y evaluar necesidad de ventilación posterior con energía de reserva</x:t>
  </x:si>
  <x:si>
    <x:t xml:space="preserve">HZ-25</x:t>
  </x:si>
  <x:si>
    <x:t xml:space="preserve">N6 Seguridad</x:t>
  </x:si>
  <x:si>
    <x:t xml:space="preserve">Emergencia HS-01</x:t>
  </x:si>
  <x:si>
    <x:t xml:space="preserve">Parada de emergencia no produce corte</x:t>
  </x:si>
  <x:si>
    <x:t xml:space="preserve">Contacto NC mal cableado; circuito dependiente del PLC</x:t>
  </x:si>
  <x:si>
    <x:t xml:space="preserve">Imposibilidad de detener calefacción ante emergencia</x:t>
  </x:si>
  <x:si>
    <x:t xml:space="preserve">HS-01 y K-01 diseñados como independientes</x:t>
  </x:si>
  <x:si>
    <x:t xml:space="preserve">Prueba de apertura directa y rearme; revisar circuito de seguridad con especialista</x:t>
  </x:si>
  <x:si>
    <x:t xml:space="preserve">SST / Eléctrico</x:t>
  </x:si>
  <x:si>
    <x:t xml:space="preserve">Bloqueante antes de pruebas</x:t>
  </x:si>
  <x:si>
    <x:t xml:space="preserve">HZ-26</x:t>
  </x:si>
  <x:si>
    <x:t xml:space="preserve">Termostato TSHH</x:t>
  </x:si>
  <x:si>
    <x:t xml:space="preserve">Termostato no actúa al superar límite</x:t>
  </x:si>
  <x:si>
    <x:t xml:space="preserve">Umbral errado; fallo del sensor independiente; puente</x:t>
  </x:si>
  <x:si>
    <x:t xml:space="preserve">Falla de protección contra sobretemperatura</x:t>
  </x:si>
  <x:si>
    <x:t xml:space="preserve">TSHH-01 previsto sin consigna validada</x:t>
  </x:si>
  <x:si>
    <x:t xml:space="preserve">Definir umbral con análisis térmico y ensayar actuación independiente</x:t>
  </x:si>
  <x:si>
    <x:t xml:space="preserve">Bloqueante antes de calentamiento</x:t>
  </x:si>
  <x:si>
    <x:t xml:space="preserve">HZ-27</x:t>
  </x:si>
  <x:si>
    <x:t xml:space="preserve">Rearme</x:t>
  </x:si>
  <x:si>
    <x:t xml:space="preserve">Se permite rearmar sin resolver la falla</x:t>
  </x:si>
  <x:si>
    <x:t xml:space="preserve">Reset_HMI sin verificación; automatismo de arranque</x:t>
  </x:si>
  <x:si>
    <x:t xml:space="preserve">Repetición de falla; reinicio inesperado</x:t>
  </x:si>
  <x:si>
    <x:t xml:space="preserve">Reset_Alarma_HMI preliminar</x:t>
  </x:si>
  <x:si>
    <x:t xml:space="preserve">Diferenciar reset lógico y rearme físico; exigir orden nueva de arranque</x:t>
  </x:si>
  <x:si>
    <x:t xml:space="preserve">HZ-28</x:t>
  </x:si>
  <x:si>
    <x:t xml:space="preserve">N7 Operación y carga</x:t>
  </x:si>
  <x:si>
    <x:t xml:space="preserve">Carga</x:t>
  </x:si>
  <x:si>
    <x:t xml:space="preserve">Sobrecarga o bobinado mal ubicado</x:t>
  </x:si>
  <x:si>
    <x:t xml:space="preserve">Peso/dimensiones superiores; contacto con lámparas</x:t>
  </x:si>
  <x:si>
    <x:t xml:space="preserve">Incendio local, obstrucción de flujo, daño mecánico</x:t>
  </x:si>
  <x:si>
    <x:t xml:space="preserve">Capacidad preliminar 1 kg; cámara 37,5 L</x:t>
  </x:si>
  <x:si>
    <x:t xml:space="preserve">Definir carga admisible, separación mínima y soporte adecuado</x:t>
  </x:si>
  <x:si>
    <x:t xml:space="preserve">Diseño / Operación</x:t>
  </x:si>
  <x:si>
    <x:t xml:space="preserve">HZ-29</x:t>
  </x:si>
  <x:si>
    <x:t xml:space="preserve">Tiempo de curado</x:t>
  </x:si>
  <x:si>
    <x:t xml:space="preserve">Tiempo real a temperatura útil insuficiente</x:t>
  </x:si>
  <x:si>
    <x:t xml:space="preserve">Cronometraje basado solo en aire; interrupción no contabilizada</x:t>
  </x:si>
  <x:si>
    <x:t xml:space="preserve">Barniz no curado, pérdidas de calidad</x:t>
  </x:si>
  <x:si>
    <x:t xml:space="preserve">HMI de tiempos prevista</x:t>
  </x:si>
  <x:si>
    <x:t xml:space="preserve">Validar curva de bobinado y condiciones de fabricante antes de declarar curado</x:t>
  </x:si>
  <x:si>
    <x:t xml:space="preserve">HZ-30</x:t>
  </x:si>
  <x:si>
    <x:t xml:space="preserve">Ensayo con calefacción sin vigilancia</x:t>
  </x:si>
  <x:si>
    <x:t xml:space="preserve">Operación remota o abandono de puesto</x:t>
  </x:si>
  <x:si>
    <x:t xml:space="preserve">Demora en detectar humo, fallo o sobretemperatura</x:t>
  </x:si>
  <x:si>
    <x:t xml:space="preserve">Alarmas preliminares HMI y piloto</x:t>
  </x:si>
  <x:si>
    <x:t xml:space="preserve">Establecer supervisión permanente y protocolo de paro/evacuación</x:t>
  </x:si>
  <x:si>
    <x:t xml:space="preserve">GUÍA Y ALCANCE — ESTUDIO HAZOP PRELIMINAR</x:t>
  </x:si>
  <x:si>
    <x:t xml:space="preserve">Prototipo de horno eléctrico para bobinados | Documento HAZOP-HORNO-001 | Revisión 00</x:t>
  </x:si>
  <x:si>
    <x:t xml:space="preserve">Aspecto</x:t>
  </x:si>
  <x:si>
    <x:t xml:space="preserve">Criterio / alcance</x:t>
  </x:si>
  <x:si>
    <x:t xml:space="preserve">NIVEL</x:t>
  </x:si>
  <x:si>
    <x:t xml:space="preserve">TRATAMIENTO</x:t>
  </x:si>
  <x:si>
    <x:t xml:space="preserve">Base del análisis</x:t>
  </x:si>
  <x:si>
    <x:t xml:space="preserve">IPERC de línea base adjunto, ingeniería del horno y lógica Ladder preliminar; no sustituye revisión multidisciplinaria HAZOP.</x:t>
  </x:si>
  <x:si>
    <x:t xml:space="preserve">BAJO</x:t>
  </x:si>
  <x:si>
    <x:t xml:space="preserve">Gestionar mediante procedimientos y revisión.</x:t>
  </x:si>
  <x:si>
    <x:t xml:space="preserve">Nodos</x:t>
  </x:si>
  <x:si>
    <x:t xml:space="preserve">N1 Calefacción/cámara; N2 Instrumentación; N3 PLC/PID/secuencias; N4 Ventilación; N5 Energía 220 VCA / 24 VCC; N6 Seguridad independiente; N7 Operación/carga.</x:t>
  </x:si>
  <x:si>
    <x:t xml:space="preserve">MEDIO</x:t>
  </x:si>
  <x:si>
    <x:t xml:space="preserve">Implementar controles y verificar efectividad.</x:t>
  </x:si>
  <x:si>
    <x:t xml:space="preserve">Diseño conocido</x:t>
  </x:si>
  <x:si>
    <x:t xml:space="preserve">Cámara 500×250×300 mm (37,5 L); dos halógenas 500 W/220 VCA; PT100 TE-23 y TT-23 4–20 mA; PLC S7-1200; HMI KTP700; SSR FCGT1-F25LA25 con orden analógica 4–20 mA; F-01/F-02 24 VCC.</x:t>
  </x:si>
  <x:si>
    <x:t xml:space="preserve">ALTO</x:t>
  </x:si>
  <x:si>
    <x:t xml:space="preserve">Prioridad elevada; no proceder sin validación de controles y autorización documentada.</x:t>
  </x:si>
  <x:si>
    <x:t xml:space="preserve">Salvaguardas</x:t>
  </x:si>
  <x:si>
    <x:t xml:space="preserve">Las medidas 'previstas' aún no son controles instalados, probados ni validados. El K-01, HS-01 y TSHH-01 requieren circuito independiente y ensayos.</x:t>
  </x:si>
  <x:si>
    <x:t xml:space="preserve">CRÍTICO</x:t>
  </x:si>
  <x:si>
    <x:t xml:space="preserve">Actividad bloqueada hasta resolver y verificar mitigaciones; puede exigir rediseño.</x:t>
  </x:si>
  <x:si>
    <x:t xml:space="preserve">Palabras guía</x:t>
  </x:si>
  <x:si>
    <x:t xml:space="preserve">NO; MÁS; MENOS; INVERSO; ANTES; DESPUÉS; DESIGUAL; OTRO.</x:t>
  </x:si>
  <x:si>
    <x:t xml:space="preserve">Acción cuya falta impide pruebas señaladas, aunque el residual teórico sea bajo.</x:t>
  </x:si>
  <x:si>
    <x:t xml:space="preserve">Probabilidad (P)</x:t>
  </x:si>
  <x:si>
    <x:t xml:space="preserve">1 Rara; 2 Improbable; 3 Posible; 4 Probable; 5 Frecuente (misma escala IPERC).</x:t>
  </x:si>
  <x:si>
    <x:t xml:space="preserve">Fuente</x:t>
  </x:si>
  <x:si>
    <x:t xml:space="preserve">IPERC-HORNO-001; ingeniería preliminar del proyecto; evaluación HAZOP propuesta.</x:t>
  </x:si>
  <x:si>
    <x:t xml:space="preserve">Consecuencia (C)</x:t>
  </x:si>
  <x:si>
    <x:t xml:space="preserve">1 Leve; 2 Menor; 3 Moderada; 4 Grave; 5 Fatal/crítica (misma escala IPERC).</x:t>
  </x:si>
  <x:si>
    <x:t xml:space="preserve">Clasificación (P×C)</x:t>
  </x:si>
  <x:si>
    <x:t xml:space="preserve">1–4 BAJO; 5–9 MEDIO; 10–16 ALTO; 17–25 CRÍTICO; el puntaje es complementario a HAZOP.</x:t>
  </x:si>
  <x:si>
    <x:t xml:space="preserve">Riesgo residual*</x:t>
  </x:si>
  <x:si>
    <x:t xml:space="preserve">Hipótesis condicional tras implementar y verificar todas las acciones; NO es el riesgo real actual.</x:t>
  </x:si>
  <x:si>
    <x:t xml:space="preserve">Límites de estudio</x:t>
  </x:si>
  <x:si>
    <x:t xml:space="preserve">Desviaciones previstas de diseño y operación; no se han probado flujos de ventilación, FDS del barniz, temperatura del bobinado, límites reales de proceso ni funciones de seguridad.</x:t>
  </x:si>
  <x:si>
    <x:t xml:space="preserve">Criterio de liberación</x:t>
  </x:si>
  <x:si>
    <x:t xml:space="preserve">Antes de energizar: verificar instalación eléctrica, K-01, HS-01, TSHH-01 y protección. Antes de curado con barniz: demostrar control del riesgo de ignición y condiciones seguras según FDS.</x:t>
  </x:si>
  <x:si>
    <x:t xml:space="preserve">PLAN DE ACCIÓN HAZOP — CONTROL DE DESVIACIONES CRÍTICAS</x:t>
  </x:si>
  <x:si>
    <x:t xml:space="preserve">Acciones priorizadas que deben cerrarse con evidencia verificable ANTES de pruebas correspondientes</x:t>
  </x:si>
  <x:si>
    <x:t xml:space="preserve">Acción HAZOP</x:t>
  </x:si>
  <x:si>
    <x:t xml:space="preserve">Referencia IPERC</x:t>
  </x:si>
  <x:si>
    <x:t xml:space="preserve">Hallazgo / decisión técnica</x:t>
  </x:si>
  <x:si>
    <x:t xml:space="preserve">Evidencia requerida</x:t>
  </x:si>
  <x:si>
    <x:t xml:space="preserve">Hito</x:t>
  </x:si>
  <x:si>
    <x:t xml:space="preserve">Tipo de bloqueo</x:t>
  </x:si>
  <x:si>
    <x:t xml:space="preserve">AH-01</x:t>
  </x:si>
  <x:si>
    <x:t xml:space="preserve">PM-03 / PM-02</x:t>
  </x:si>
  <x:si>
    <x:t xml:space="preserve">Demostrar compatibilidad del método de calefacción con el barniz y vapores; valorar sustitución de halógenas</x:t>
  </x:si>
  <x:si>
    <x:t xml:space="preserve">FDS del barniz, revisión técnica y aprobación SST</x:t>
  </x:si>
  <x:si>
    <x:t xml:space="preserve">Diseño / SST</x:t>
  </x:si>
  <x:si>
    <x:t xml:space="preserve">ANTES DE CURADO</x:t>
  </x:si>
  <x:si>
    <x:t xml:space="preserve">AH-02</x:t>
  </x:si>
  <x:si>
    <x:t xml:space="preserve">Evaluar ventilación/extracción y control de fuentes de ignición en proceso con solventes</x:t>
  </x:si>
  <x:si>
    <x:t xml:space="preserve">Cálculo/ensayo de ventilación y análisis de atmósfera</x:t>
  </x:si>
  <x:si>
    <x:t xml:space="preserve">AH-03</x:t>
  </x:si>
  <x:si>
    <x:t xml:space="preserve">Validar coordinación QF-01/QF-02, calibre del cable, capacidad de corte y arranque de lámparas</x:t>
  </x:si>
  <x:si>
    <x:t xml:space="preserve">Memoria de cálculo y fichas de protecciones</x:t>
  </x:si>
  <x:si>
    <x:t xml:space="preserve">ANTES DE ENERGIZAR</x:t>
  </x:si>
  <x:si>
    <x:t xml:space="preserve">AH-04</x:t>
  </x:si>
  <x:si>
    <x:t xml:space="preserve">Validar características exactas del SSR, disipación y respuesta a falla en conducción</x:t>
  </x:si>
  <x:si>
    <x:t xml:space="preserve">Ficha fabricante y protocolo de prueba</x:t>
  </x:si>
  <x:si>
    <x:t xml:space="preserve">ANTES DE CALENTAR</x:t>
  </x:si>
  <x:si>
    <x:t xml:space="preserve">AH-05</x:t>
  </x:si>
  <x:si>
    <x:t xml:space="preserve">Seleccionar K-01 según corriente de conexión y probar apertura física</x:t>
  </x:si>
  <x:si>
    <x:t xml:space="preserve">Ficha contactor y evidencia de corte</x:t>
  </x:si>
  <x:si>
    <x:t xml:space="preserve">AH-06</x:t>
  </x:si>
  <x:si>
    <x:t xml:space="preserve">Definir umbral del termostato independiente y probar interrupción autónoma</x:t>
  </x:si>
  <x:si>
    <x:t xml:space="preserve">Acta de ensayo TSHH-01 / K-01</x:t>
  </x:si>
  <x:si>
    <x:t xml:space="preserve">AH-07</x:t>
  </x:si>
  <x:si>
    <x:t xml:space="preserve">Probar HS-01, circuito de corte y rearme sin reinicio automático</x:t>
  </x:si>
  <x:si>
    <x:t xml:space="preserve">Protocolo de emergencia y recuperación</x:t>
  </x:si>
  <x:si>
    <x:t xml:space="preserve">ANTES DE PRUEBAS</x:t>
  </x:si>
  <x:si>
    <x:t xml:space="preserve">AH-08</x:t>
  </x:si>
  <x:si>
    <x:t xml:space="preserve">Verificar uniformidad térmica y temperatura real del bobinado frente a la del aire</x:t>
  </x:si>
  <x:si>
    <x:t xml:space="preserve">Mapa térmico y registro de carga representativa</x:t>
  </x:si>
  <x:si>
    <x:t xml:space="preserve">PRIORITARIO</x:t>
  </x:si>
  <x:si>
    <x:t xml:space="preserve">AH-09</x:t>
  </x:si>
  <x:si>
    <x:t xml:space="preserve">Corregir lógica del temporizador: inicio al alcanzar consigna, transición al enfriamiento</x:t>
  </x:si>
  <x:si>
    <x:t xml:space="preserve">Prueba de estados S-02/S-03/S-04 y alarmas</x:t>
  </x:si>
  <x:si>
    <x:t xml:space="preserve">ANTES DE FAT</x:t>
  </x:si>
  <x:si>
    <x:t xml:space="preserve">AH-10</x:t>
  </x:si>
  <x:si>
    <x:t xml:space="preserve">Definir operación vigilada y respuesta ante humo/alarma</x:t>
  </x:si>
  <x:si>
    <x:t xml:space="preserve">Procedimiento SST y responsable de ensayo</x:t>
  </x:si>
  <x:si>
    <x:t xml:space="preserve">Ensayos / SST</x:t>
  </x:si>
  <x:si>
    <x:t xml:space="preserve">AH-11</x:t>
  </x:si>
  <x:si>
    <x:t xml:space="preserve">Probar diagnóstico señal de temperatura (abierto/fuera de rango) e inhibición de calefacción</x:t>
  </x:si>
  <x:si>
    <x:t xml:space="preserve">I/O Check, Loop Check y fallo simulado</x:t>
  </x:si>
  <x:si>
    <x:t xml:space="preserve">AH-12</x:t>
  </x:si>
  <x:si>
    <x:t xml:space="preserve">Verificar sentido real de F-01/F-02 y condiciones de ventilación durante etapas</x:t>
  </x:si>
  <x:si>
    <x:t xml:space="preserve">Registros de integración y caudal</x:t>
  </x:si>
</x:sst>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24435A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7"/>
      <x:color rgb="FFFFFFFF"/>
      <x:name val="Carlito"/>
    </x:font>
    <x:font>
      <x:sz val="10"/>
      <x:color rgb="FF183A56"/>
      <x:name val="Carlito"/>
    </x:font>
    <x:font>
      <x:b/>
      <x:sz val="11"/>
      <x:color rgb="FF7A4118"/>
      <x:name val="Carlito"/>
    </x:font>
    <x:font>
      <x:sz val="11"/>
      <x:color rgb="FF163A55"/>
      <x:name val="Carlito"/>
    </x:font>
    <x:font>
      <x:b/>
      <x:sz val="11"/>
      <x:color rgb="FF991B1B"/>
      <x:name val="Carlito"/>
    </x:font>
    <x:font>
      <x:sz val="10"/>
      <x:color rgb="FF123047"/>
      <x:name val="Carlito"/>
    </x:font>
    <x:font>
      <x:b/>
      <x:sz val="10"/>
      <x:color rgb="FF8C3B14"/>
      <x:name val="Carlito"/>
    </x:font>
    <x:font>
      <x:b/>
      <x:sz val="11"/>
      <x:name val="Carlito"/>
    </x:font>
  </x:fonts>
  <x:fills count="1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9F0F6"/>
      </x:patternFill>
    </x:fill>
    <x:fill>
      <x:patternFill patternType="solid">
        <x:fgColor rgb="FF1E536B"/>
      </x:patternFill>
    </x:fill>
    <x:fill>
      <x:patternFill patternType="solid">
        <x:fgColor rgb="FF133252"/>
      </x:patternFill>
    </x:fill>
    <x:fill>
      <x:patternFill patternType="solid">
        <x:fgColor rgb="FFDDEAF5"/>
      </x:patternFill>
    </x:fill>
    <x:fill>
      <x:patternFill patternType="solid">
        <x:fgColor rgb="FFFFF0D5"/>
      </x:patternFill>
    </x:fill>
    <x:fill>
      <x:patternFill patternType="solid">
        <x:fgColor rgb="FF22577A"/>
      </x:patternFill>
    </x:fill>
    <x:fill>
      <x:patternFill patternType="solid">
        <x:fgColor rgb="FF326E8B"/>
      </x:patternFill>
    </x:fill>
    <x:fill>
      <x:patternFill patternType="solid">
        <x:fgColor rgb="FF183A56"/>
      </x:patternFill>
    </x:fill>
    <x:fill>
      <x:patternFill patternType="solid">
        <x:fgColor rgb="FFFEE2E2"/>
      </x:patternFill>
    </x:fill>
    <x:fill>
      <x:patternFill patternType="solid">
        <x:fgColor rgb="FF123047"/>
      </x:patternFill>
    </x:fill>
    <x:fill>
      <x:patternFill patternType="solid">
        <x:fgColor rgb="FFEAF3F6"/>
      </x:patternFill>
    </x:fill>
    <x:fill>
      <x:patternFill patternType="solid">
        <x:fgColor rgb="FFFFF0D6"/>
      </x:patternFill>
    </x:fill>
    <x:fill>
      <x:patternFill patternType="solid">
        <x:fgColor rgb="FF165B76"/>
      </x:patternFill>
    </x:fill>
    <x:fill>
      <x:patternFill patternType="solid">
        <x:fgColor rgb="FFD8EAF0"/>
      </x:patternFill>
    </x:fill>
  </x:fills>
  <x:borders count="2">
    <x:border/>
    <x:border/>
  </x:borders>
  <x:cellStyleXfs count="1">
    <x:xf numFmtId="0" fontId="0" fillId="0" borderId="0"/>
  </x:cellStyleXfs>
  <x:cellXfs count="80">
    <x:xf numFmtId="0" fontId="0" fillId="0" borderId="0" xfId="0"/>
    <x:xf numFmtId="0" fontId="3" fillId="4" borderId="0" xfId="0" applyFont="1" applyFill="1" applyAlignment="1">
      <x:alignment vertical="center" wrapText="1"/>
    </x:xf>
    <x:xf numFmtId="0" fontId="0" fillId="0" borderId="0" xfId="0" applyAlignment="1">
      <x:alignment wrapText="1"/>
    </x:xf>
    <x:xf numFmtId="0" fontId="4" fillId="4" borderId="0" xfId="0" applyFont="1" applyFill="1"/>
    <x:xf numFmtId="0" fontId="4" fillId="2" borderId="0" xfId="0" applyFont="1" applyFill="1" applyAlignment="1">
      <x:alignment wrapText="1"/>
    </x:xf>
    <x:xf numFmtId="0" fontId="4" fillId="8" borderId="0" xfId="0" applyFont="1" applyFill="1"/>
    <x:xf numFmtId="0" fontId="4" fillId="10" borderId="0" xfId="0" applyFont="1" applyFill="1" applyAlignment="1">
      <x:alignment wrapText="1"/>
    </x:xf>
    <x:xf numFmtId="0" fontId="0" fillId="0" borderId="0" xfId="0" applyAlignment="1">
      <x:alignment vertical="center" wrapText="1"/>
    </x:xf>
    <x:xf numFmtId="0" fontId="0" fillId="0" borderId="0" xfId="0" applyAlignment="1">
      <x:alignment horizontal="center" vertical="center" wrapText="1"/>
    </x:xf>
    <x:xf numFmtId="0" fontId="4" fillId="8" borderId="0" xfId="0" applyFont="1" applyFill="1" applyAlignment="1">
      <x:alignment wrapText="1"/>
    </x:xf>
    <x:xf numFmtId="0" fontId="1" fillId="2" borderId="0" xfId="0" applyFont="1" applyFill="1" applyAlignment="1">
      <x:alignment vertical="center"/>
    </x:xf>
    <x:xf numFmtId="0" fontId="2" fillId="3" borderId="0" xfId="0" applyFont="1" applyFill="1"/>
    <x:xf numFmtId="0" fontId="0" fillId="0" borderId="0" xfId="0" applyAlignment="1">
      <x:alignment wrapText="1"/>
    </x:xf>
    <x:xf numFmtId="0" fontId="4" fillId="4" borderId="0" xfId="0" applyFont="1" applyFill="1" applyAlignment="1">
      <x:alignment wrapText="1"/>
    </x:xf>
    <x:xf numFmtId="0" fontId="5" fillId="2" borderId="0" xfId="0" applyFont="1" applyFill="1"/>
    <x:xf numFmtId="0" fontId="6" fillId="5" borderId="0" xfId="0" applyFont="1" applyFill="1"/>
    <x:xf numFmtId="0" fontId="7" fillId="6" borderId="0" xfId="0" applyFont="1" applyFill="1"/>
    <x:xf numFmtId="0" fontId="0" fillId="0" borderId="0" xfId="0"/>
    <x:xf numFmtId="0" fontId="8" fillId="7" borderId="0" xfId="0" applyFont="1" applyFill="1" applyAlignment="1">
      <x:alignment wrapText="1"/>
    </x:xf>
    <x:xf numFmtId="0" fontId="4" fillId="8" borderId="0" xfId="0" applyFont="1" applyFill="1"/>
    <x:xf numFmtId="0" fontId="4" fillId="9" borderId="0" xfId="0" applyFont="1" applyFill="1"/>
    <x:xf numFmtId="0" fontId="1" fillId="5" borderId="0" xfId="0" applyFont="1" applyFill="1"/>
    <x:xf numFmtId="0" fontId="9" fillId="6" borderId="0" xfId="0" applyFont="1" applyFill="1"/>
    <x:xf numFmtId="0" fontId="10" fillId="11" borderId="0" xfId="0" applyFont="1" applyFill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8" borderId="1" xfId="0" applyNumberFormat="1" applyFont="1" applyFill="1" applyBorder="1"/>
    <x:xf numFmtId="0" fontId="4" fillId="1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4" fillId="8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6" fillId="5" borderId="1" xfId="0" applyNumberFormat="1" applyFont="1" applyFill="1" applyBorder="1"/>
    <x:xf numFmtId="0" fontId="7" fillId="6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4" fillId="9" borderId="1" xfId="0" applyNumberFormat="1" applyFont="1" applyFill="1" applyBorder="1"/>
    <x:xf numFmtId="0" fontId="1" fillId="5" borderId="1" xfId="0" applyNumberFormat="1" applyFont="1" applyFill="1" applyBorder="1"/>
    <x:xf numFmtId="0" fontId="9" fillId="6" borderId="1" xfId="0" applyNumberFormat="1" applyFont="1" applyFill="1" applyBorder="1"/>
    <x:xf numFmtId="0" fontId="10" fillId="11" borderId="1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vertical="center"/>
    </x:xf>
    <x:xf numFmtId="0" fontId="0" fillId="12" borderId="1" xfId="0" applyNumberFormat="1" applyFont="1" applyFill="1" applyBorder="1"/>
    <x:xf numFmtId="0" fontId="6" fillId="12" borderId="1" xfId="0" applyNumberFormat="1" applyFont="1" applyFill="1" applyBorder="1"/>
    <x:xf numFmtId="0" fontId="6" fillId="12" borderId="1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0" fillId="13" borderId="1" xfId="0" applyNumberFormat="1" applyFont="1" applyFill="1" applyBorder="1"/>
    <x:xf numFmtId="0" fontId="11" fillId="13" borderId="1" xfId="0" applyNumberFormat="1" applyFont="1" applyFill="1" applyBorder="1"/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0" fillId="14" borderId="1" xfId="0" applyNumberFormat="1" applyFont="1" applyFill="1" applyBorder="1"/>
    <x:xf numFmtId="0" fontId="12" fillId="14" borderId="1" xfId="0" applyNumberFormat="1" applyFont="1" applyFill="1" applyBorder="1"/>
    <x:xf numFmtId="0" fontId="0" fillId="15" borderId="0" xfId="0" applyNumberFormat="1" applyFont="1" applyFill="1" applyBorder="1"/>
    <x:xf numFmtId="0" fontId="3" fillId="15" borderId="0" xfId="0" applyNumberFormat="1" applyFont="1" applyFill="1" applyBorder="1"/>
    <x:xf numFmtId="0" fontId="3" fillId="15" borderId="0" xfId="0" applyNumberFormat="1" applyFont="1" applyFill="1" applyBorder="1" applyAlignment="1">
      <x:alignment wrapText="1"/>
    </x:xf>
    <x:xf numFmtId="0" fontId="3" fillId="15" borderId="0" xfId="0" applyNumberFormat="1" applyFont="1" applyFill="1" applyBorder="1" applyAlignment="1">
      <x:alignment vertical="center" wrapText="1"/>
    </x:xf>
    <x:xf numFmtId="0" fontId="0" fillId="15" borderId="1" xfId="0" applyNumberFormat="1" applyFont="1" applyFill="1" applyBorder="1"/>
    <x:xf numFmtId="0" fontId="3" fillId="15" borderId="1" xfId="0" applyNumberFormat="1" applyFont="1" applyFill="1" applyBorder="1"/>
    <x:xf numFmtId="0" fontId="3" fillId="15" borderId="1" xfId="0" applyNumberFormat="1" applyFont="1" applyFill="1" applyBorder="1" applyAlignment="1">
      <x:alignment wrapText="1"/>
    </x:xf>
    <x:xf numFmtId="0" fontId="3" fillId="15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16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 applyAlignment="1">
      <x:alignment horizontal="center" wrapText="1"/>
    </x:xf>
    <x:xf numFmtId="0" fontId="0" fillId="16" borderId="1" xfId="0" applyNumberFormat="1" applyFont="1" applyFill="1" applyBorder="1" applyAlignment="1">
      <x:alignment wrapText="1"/>
    </x:xf>
    <x:xf numFmtId="0" fontId="0" fillId="16" borderId="1" xfId="0" applyNumberFormat="1" applyFont="1" applyFill="1" applyBorder="1" applyAlignment="1">
      <x:alignment horizontal="center" wrapText="1"/>
    </x:xf>
    <x:xf numFmtId="0" fontId="13" fillId="16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0" fontId="13" fillId="16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4" fillId="12" borderId="0" xfId="0" applyNumberFormat="1" applyFont="1" applyFill="1" applyBorder="1"/>
    <x:xf numFmtId="0" fontId="4" fillId="12" borderId="1" xfId="0" applyNumberFormat="1" applyFont="1" applyFill="1" applyBorder="1"/>
  </x:cellXfs>
  <x:cellStyles count="1">
    <x:cellStyle name="Normal" xfId="0"/>
  </x:cellStyles>
  <x:dxfs count="7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CA5A5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color rgb="FF92400E"/>
      </x:font>
      <x:fill>
        <x:patternFill>
          <x:bgColor rgb="FFFDE68A"/>
        </x:patternFill>
      </x:fill>
    </x:dxf>
    <x:dxf>
      <x:font>
        <x:color rgb="FF991B1B"/>
      </x:font>
      <x:fill>
        <x:patternFill>
          <x:bgColor rgb="FFFECACA"/>
        </x:patternFill>
      </x:fill>
    </x:dxf>
    <x:dxf>
      <x:font>
        <x:b/>
        <x:color rgb="FF902626"/>
      </x:font>
      <x:fill>
        <x:patternFill patternType="solid">
          <x:bgColor rgb="FFF9C5C5"/>
        </x:patternFill>
      </x:fill>
    </x:dxf>
    <x:dxf>
      <x:font>
        <x:b/>
        <x:color rgb="FF874015"/>
      </x:font>
      <x:fill>
        <x:patternFill patternType="solid">
          <x:bgColor rgb="FFFCE7D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7e261cc2b43b8" /><Relationship Type="http://schemas.openxmlformats.org/officeDocument/2006/relationships/theme" Target="/xl/theme/theme1.xml" Id="R62abd23dcf664d91" /><Relationship Type="http://schemas.openxmlformats.org/officeDocument/2006/relationships/sharedStrings" Target="/xl/sharedStrings.xml" Id="R801f24048f7f474d" /><Relationship Type="http://schemas.openxmlformats.org/officeDocument/2006/relationships/worksheet" Target="/xl/worksheets/sheet1.xml" Id="Rc3a8928d99a844a7" /><Relationship Type="http://schemas.openxmlformats.org/officeDocument/2006/relationships/worksheet" Target="/xl/worksheets/sheet2.xml" Id="R33ec74c851a84d0a" /><Relationship Type="http://schemas.openxmlformats.org/officeDocument/2006/relationships/worksheet" Target="/xl/worksheets/sheet3.xml" Id="R7c8cbb34c2074fcc" /><Relationship Type="http://schemas.openxmlformats.org/officeDocument/2006/relationships/worksheet" Target="/xl/worksheets/sheet4.xml" Id="R425b170859d840d8" /><Relationship Type="http://schemas.openxmlformats.org/officeDocument/2006/relationships/worksheet" Target="/xl/worksheets/sheet5.xml" Id="R1b080ca53a0d4b4d" /><Relationship Type="http://schemas.openxmlformats.org/officeDocument/2006/relationships/worksheet" Target="/xl/worksheets/sheet6.xml" Id="R43e8bd8a7f774ecc" /><Relationship Type="http://schemas.openxmlformats.org/officeDocument/2006/relationships/worksheet" Target="/xl/worksheets/sheet7.xml" Id="R90534b6aa13c44ab" /><Relationship Type="http://schemas.openxmlformats.org/officeDocument/2006/relationships/worksheet" Target="/xl/worksheets/sheet8.xml" Id="R7988ae1879944c15" /><Relationship Type="http://schemas.openxmlformats.org/officeDocument/2006/relationships/worksheet" Target="/xl/worksheets/sheet9.xml" Id="Rd7111f015e29474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5cfa91d4e4f40dc" /></Relationships>
</file>

<file path=xl/drawings/drawing1.xml><?xml version="1.0" encoding="utf-8"?>
<xdr:wsDr xmlns:xdr="http://schemas.openxmlformats.org/drawingml/2006/spreadsheetDrawing">
  <xdr:twoCellAnchor editAs="oneCell">
    <xdr:from>
      <xdr:col>7</xdr:col>
      <xdr:colOff>409575</xdr:colOff>
      <xdr:row>0</xdr:row>
      <xdr:rowOff>9525</xdr:rowOff>
    </xdr:from>
    <xdr:to>
      <xdr:col>7</xdr:col>
      <xdr:colOff>1695450</xdr:colOff>
      <xdr:row>1</xdr:row>
      <xdr:rowOff>91964</xdr:rowOff>
    </xdr:to>
    <xdr:pic>
      <xdr:nvPicPr>
        <xdr:cNvPr id="1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cfa91d4e4f40d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4862815da494eab" /></Relationships>
</file>

<file path=xl/worksheets/sheet1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baseColWidth="10" defaultColWidth="9" defaultRowHeight="14.25"/>
  <x:cols>
    <x:col min="1" max="1" width="7" customWidth="1"/>
    <x:col min="2" max="2" width="21" customWidth="1"/>
    <x:col min="3" max="3" width="9" customWidth="1"/>
    <x:col min="4" max="4" width="28" customWidth="1"/>
    <x:col min="5" max="5" width="9" customWidth="1"/>
    <x:col min="6" max="6" width="20" customWidth="1"/>
    <x:col min="7" max="7" width="8" customWidth="1"/>
    <x:col min="8" max="8" width="29" customWidth="1"/>
    <x:col min="9" max="9" width="12" customWidth="1"/>
    <x:col min="10" max="10" width="29" customWidth="1"/>
    <x:col min="11" max="11" width="26" customWidth="1"/>
    <x:col min="12" max="12" width="23" customWidth="1"/>
    <x:col min="13" max="14" width="12" customWidth="1"/>
    <x:col min="15" max="15" width="14" customWidth="1"/>
    <x:col min="16" max="17" width="25" customWidth="1"/>
    <x:col min="18" max="18" width="43" customWidth="1"/>
    <x:col min="19" max="19" width="40" customWidth="1"/>
    <x:col min="20" max="20" width="25" customWidth="1"/>
    <x:col min="21" max="22" width="12" customWidth="1"/>
    <x:col min="23" max="23" width="14" customWidth="1"/>
    <x:col min="24" max="24" width="13" customWidth="1"/>
    <x:col min="25" max="25" width="39" customWidth="1"/>
    <x:col min="26" max="27" width="21" customWidth="1"/>
  </x:cols>
  <x:sheetData>
    <x:row r="1" ht="32.099998474121094" customHeight="1">
      <x:c r="A1" s="10" t="s">
        <x:v>0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0"/>
      <x:c r="O1" s="10"/>
      <x:c r="P1" s="10"/>
      <x:c r="Q1" s="10"/>
      <x:c r="R1" s="10"/>
      <x:c r="S1" s="10"/>
      <x:c r="T1" s="10"/>
      <x:c r="U1" s="10"/>
      <x:c r="V1" s="10"/>
      <x:c r="W1" s="10"/>
      <x:c r="X1" s="10"/>
      <x:c r="Y1" s="10"/>
      <x:c r="Z1" s="10"/>
      <x:c r="AA1" s="10"/>
    </x:row>
    <x:row r="2" ht="24" customHeight="1">
      <x:c r="A2" s="11" t="s">
        <x:v>1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</x:row>
    <x:row r="3">
      <x:c r="A3" t="s">
        <x:v>2</x:v>
      </x:c>
      <x:c r="B3" t="s">
        <x:v>3</x:v>
      </x:c>
      <x:c r="H3" t="s">
        <x:v>4</x:v>
      </x:c>
      <x:c r="I3" t="s">
        <x:v>5</x:v>
      </x:c>
    </x:row>
    <x:row r="4">
      <x:c r="A4" t="s">
        <x:v>6</x:v>
      </x:c>
      <x:c r="B4" t="s">
        <x:v>7</x:v>
      </x:c>
      <x:c r="H4" t="s">
        <x:v>8</x:v>
      </x:c>
      <x:c r="I4" t="s">
        <x:v>9</x:v>
      </x:c>
    </x:row>
    <x:row r="5">
      <x:c r="A5" t="s">
        <x:v>10</x:v>
      </x:c>
      <x:c r="B5" t="s">
        <x:v>11</x:v>
      </x:c>
      <x:c r="H5" t="s">
        <x:v>12</x:v>
      </x:c>
      <x:c r="I5" t="s">
        <x:v>13</x:v>
      </x:c>
    </x:row>
    <x:row r="6">
      <x:c r="A6" t="s">
        <x:v>14</x:v>
      </x:c>
      <x:c r="B6" t="s">
        <x:v>15</x:v>
      </x:c>
      <x:c r="H6" t="s">
        <x:v>16</x:v>
      </x:c>
      <x:c r="I6" t="s">
        <x:v>17</x:v>
      </x:c>
    </x:row>
    <x:row r="7">
      <x:c r="A7" t="s">
        <x:v>18</x:v>
      </x:c>
      <x:c r="B7" t="s">
        <x:v>19</x:v>
      </x:c>
      <x:c r="H7" t="s">
        <x:v>20</x:v>
      </x:c>
      <x:c r="I7" t="s">
        <x:v>21</x:v>
      </x:c>
    </x:row>
    <x:row r="8">
      <x:c r="A8" t="s">
        <x:v>22</x:v>
      </x:c>
      <x:c r="B8" t="s">
        <x:v>23</x:v>
      </x:c>
      <x:c r="H8" t="s">
        <x:v>24</x:v>
      </x:c>
      <x:c r="I8" t="s">
        <x:v>25</x:v>
      </x:c>
    </x:row>
    <x:row r="10" ht="27.950000762939453" customHeight="1">
      <x:c r="A10" s="12" t="s">
        <x:v>26</x:v>
      </x:c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  <x:c r="Z10" s="12"/>
      <x:c r="AA10" s="12"/>
    </x:row>
    <x:row r="11" ht="27.950000762939453" customHeight="1">
      <x:c r="A11" s="12" t="s">
        <x:v>27</x:v>
      </x:c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  <x:c r="Z11" s="12"/>
      <x:c r="AA11" s="12"/>
    </x:row>
    <x:row r="13" ht="48" customHeight="1">
      <x:c r="A13" s="1" t="s">
        <x:v>28</x:v>
      </x:c>
      <x:c r="B13" s="1" t="s">
        <x:v>29</x:v>
      </x:c>
      <x:c r="C13" s="1" t="s">
        <x:v>30</x:v>
      </x:c>
      <x:c r="D13" s="1" t="s">
        <x:v>31</x:v>
      </x:c>
      <x:c r="E13" s="1" t="s">
        <x:v>32</x:v>
      </x:c>
      <x:c r="F13" s="1" t="s">
        <x:v>33</x:v>
      </x:c>
      <x:c r="G13" s="1" t="s">
        <x:v>34</x:v>
      </x:c>
      <x:c r="H13" s="1" t="s">
        <x:v>35</x:v>
      </x:c>
      <x:c r="I13" s="1" t="s">
        <x:v>36</x:v>
      </x:c>
      <x:c r="J13" s="1" t="s">
        <x:v>37</x:v>
      </x:c>
      <x:c r="K13" s="1" t="s">
        <x:v>38</x:v>
      </x:c>
      <x:c r="L13" s="1" t="s">
        <x:v>39</x:v>
      </x:c>
      <x:c r="M13" s="1" t="s">
        <x:v>40</x:v>
      </x:c>
      <x:c r="N13" s="1" t="s">
        <x:v>41</x:v>
      </x:c>
      <x:c r="O13" s="1" t="s">
        <x:v>42</x:v>
      </x:c>
      <x:c r="P13" s="1" t="s">
        <x:v>43</x:v>
      </x:c>
      <x:c r="Q13" s="1" t="s">
        <x:v>44</x:v>
      </x:c>
      <x:c r="R13" s="1" t="s">
        <x:v>45</x:v>
      </x:c>
      <x:c r="S13" s="1" t="s">
        <x:v>46</x:v>
      </x:c>
      <x:c r="T13" s="1" t="s">
        <x:v>47</x:v>
      </x:c>
      <x:c r="U13" s="1" t="s">
        <x:v>48</x:v>
      </x:c>
      <x:c r="V13" s="1" t="s">
        <x:v>49</x:v>
      </x:c>
      <x:c r="W13" s="1" t="s">
        <x:v>50</x:v>
      </x:c>
      <x:c r="X13" s="1" t="s">
        <x:v>51</x:v>
      </x:c>
      <x:c r="Y13" s="1" t="s">
        <x:v>52</x:v>
      </x:c>
      <x:c r="Z13" s="1" t="s">
        <x:v>18</x:v>
      </x:c>
      <x:c r="AA13" s="1" t="s">
        <x:v>53</x:v>
      </x:c>
    </x:row>
    <x:row r="14" ht="92.0999984741211" customHeight="1">
      <x:c r="A14" s="2">
        <x:v>1</x:v>
      </x:c>
      <x:c r="B14" s="2" t="s">
        <x:v>54</x:v>
      </x:c>
      <x:c r="C14" s="2">
        <x:v>1</x:v>
      </x:c>
      <x:c r="D14" s="2" t="s">
        <x:v>55</x:v>
      </x:c>
      <x:c r="E14" s="2" t="s">
        <x:v>56</x:v>
      </x:c>
      <x:c r="F14" s="2" t="s">
        <x:v>57</x:v>
      </x:c>
      <x:c r="G14" s="2" t="s">
        <x:v>58</x:v>
      </x:c>
      <x:c r="H14" s="2" t="s">
        <x:v>59</x:v>
      </x:c>
      <x:c r="I14" s="2" t="s">
        <x:v>60</x:v>
      </x:c>
      <x:c r="J14" s="2" t="s">
        <x:v>61</x:v>
      </x:c>
      <x:c r="K14" s="2" t="s">
        <x:v>62</x:v>
      </x:c>
      <x:c r="L14" s="2" t="s">
        <x:v>63</x:v>
      </x:c>
      <x:c r="M14" s="2">
        <x:v>3</x:v>
      </x:c>
      <x:c r="N14" s="2">
        <x:v>5</x:v>
      </x:c>
      <x:c r="O14" s="2" t="n">
        <x:f t="shared" ref="O14:O54" si="0">M14*N14</x:f>
        <x:v>15</x:v>
      </x:c>
      <x:c r="P14" s="2" t="s">
        <x:v>64</x:v>
      </x:c>
      <x:c r="Q14" s="2" t="s">
        <x:v>65</x:v>
      </x:c>
      <x:c r="R14" s="2" t="s">
        <x:v>66</x:v>
      </x:c>
      <x:c r="S14" s="2" t="s">
        <x:v>67</x:v>
      </x:c>
      <x:c r="T14" s="2" t="s">
        <x:v>68</x:v>
      </x:c>
      <x:c r="U14" s="2">
        <x:v>1</x:v>
      </x:c>
      <x:c r="V14" s="2">
        <x:v>5</x:v>
      </x:c>
      <x:c r="W14" s="2" t="n">
        <x:f t="shared" ref="W14:W54" si="1">U14*V14</x:f>
        <x:v>5</x:v>
      </x:c>
      <x:c r="X14" s="2" t="s">
        <x:v>69</x:v>
      </x:c>
      <x:c r="Y14" s="2" t="s">
        <x:v>70</x:v>
      </x:c>
      <x:c r="Z14" s="2" t="s">
        <x:v>71</x:v>
      </x:c>
      <x:c r="AA14" s="2" t="s">
        <x:v>72</x:v>
      </x:c>
    </x:row>
    <x:row r="15" ht="92.0999984741211" customHeight="1">
      <x:c r="A15" s="2">
        <x:v>2</x:v>
      </x:c>
      <x:c r="B15" s="2" t="s">
        <x:v>73</x:v>
      </x:c>
      <x:c r="C15" s="2">
        <x:v>2</x:v>
      </x:c>
      <x:c r="D15" s="2" t="s">
        <x:v>74</x:v>
      </x:c>
      <x:c r="E15" s="2" t="s">
        <x:v>56</x:v>
      </x:c>
      <x:c r="F15" s="2" t="s">
        <x:v>57</x:v>
      </x:c>
      <x:c r="G15" s="2" t="s">
        <x:v>58</x:v>
      </x:c>
      <x:c r="H15" s="2" t="s">
        <x:v>75</x:v>
      </x:c>
      <x:c r="I15" s="2" t="s">
        <x:v>60</x:v>
      </x:c>
      <x:c r="J15" s="2" t="s">
        <x:v>76</x:v>
      </x:c>
      <x:c r="K15" s="2" t="s">
        <x:v>77</x:v>
      </x:c>
      <x:c r="L15" s="2" t="s">
        <x:v>63</x:v>
      </x:c>
      <x:c r="M15" s="2">
        <x:v>4</x:v>
      </x:c>
      <x:c r="N15" s="2">
        <x:v>5</x:v>
      </x:c>
      <x:c r="O15" s="2">
        <x:f t="shared" si="0"/>
        <x:v>20</x:v>
      </x:c>
      <x:c r="P15" s="2" t="s">
        <x:v>78</x:v>
      </x:c>
      <x:c r="Q15" s="2" t="s">
        <x:v>79</x:v>
      </x:c>
      <x:c r="R15" s="2" t="s">
        <x:v>80</x:v>
      </x:c>
      <x:c r="S15" s="2" t="s">
        <x:v>81</x:v>
      </x:c>
      <x:c r="T15" s="2" t="s">
        <x:v>82</x:v>
      </x:c>
      <x:c r="U15" s="2">
        <x:v>2</x:v>
      </x:c>
      <x:c r="V15" s="2">
        <x:v>5</x:v>
      </x:c>
      <x:c r="W15" s="2">
        <x:f t="shared" si="1"/>
        <x:v>10</x:v>
      </x:c>
      <x:c r="X15" s="2" t="s">
        <x:v>83</x:v>
      </x:c>
      <x:c r="Y15" s="2" t="s">
        <x:v>70</x:v>
      </x:c>
      <x:c r="Z15" s="2" t="s">
        <x:v>71</x:v>
      </x:c>
      <x:c r="AA15" s="2" t="s">
        <x:v>72</x:v>
      </x:c>
    </x:row>
    <x:row r="16" ht="92.0999984741211" customHeight="1">
      <x:c r="A16" s="2">
        <x:v>3</x:v>
      </x:c>
      <x:c r="B16" s="2" t="s">
        <x:v>73</x:v>
      </x:c>
      <x:c r="C16" s="2">
        <x:v>3</x:v>
      </x:c>
      <x:c r="D16" s="2" t="s">
        <x:v>84</x:v>
      </x:c>
      <x:c r="E16" s="2" t="s">
        <x:v>56</x:v>
      </x:c>
      <x:c r="F16" s="2" t="s">
        <x:v>57</x:v>
      </x:c>
      <x:c r="G16" s="2" t="s">
        <x:v>85</x:v>
      </x:c>
      <x:c r="H16" s="2" t="s">
        <x:v>86</x:v>
      </x:c>
      <x:c r="I16" s="2" t="s">
        <x:v>60</x:v>
      </x:c>
      <x:c r="J16" s="2" t="s">
        <x:v>87</x:v>
      </x:c>
      <x:c r="K16" s="2" t="s">
        <x:v>88</x:v>
      </x:c>
      <x:c r="L16" s="2" t="s">
        <x:v>63</x:v>
      </x:c>
      <x:c r="M16" s="2">
        <x:v>4</x:v>
      </x:c>
      <x:c r="N16" s="2">
        <x:v>5</x:v>
      </x:c>
      <x:c r="O16" s="2">
        <x:f t="shared" si="0"/>
        <x:v>20</x:v>
      </x:c>
      <x:c r="P16" s="2" t="s">
        <x:v>89</x:v>
      </x:c>
      <x:c r="Q16" s="2" t="s">
        <x:v>90</x:v>
      </x:c>
      <x:c r="R16" s="2" t="s">
        <x:v>91</x:v>
      </x:c>
      <x:c r="S16" s="2" t="s">
        <x:v>92</x:v>
      </x:c>
      <x:c r="T16" s="2" t="s">
        <x:v>93</x:v>
      </x:c>
      <x:c r="U16" s="2">
        <x:v>1</x:v>
      </x:c>
      <x:c r="V16" s="2">
        <x:v>5</x:v>
      </x:c>
      <x:c r="W16" s="2">
        <x:f t="shared" si="1"/>
        <x:v>5</x:v>
      </x:c>
      <x:c r="X16" s="2" t="s">
        <x:v>94</x:v>
      </x:c>
      <x:c r="Y16" s="2" t="s">
        <x:v>70</x:v>
      </x:c>
      <x:c r="Z16" s="2" t="s">
        <x:v>71</x:v>
      </x:c>
      <x:c r="AA16" s="2" t="s">
        <x:v>72</x:v>
      </x:c>
    </x:row>
    <x:row r="17" ht="92.0999984741211" customHeight="1">
      <x:c r="A17" s="2">
        <x:v>4</x:v>
      </x:c>
      <x:c r="B17" s="2" t="s">
        <x:v>95</x:v>
      </x:c>
      <x:c r="C17" s="2">
        <x:v>4</x:v>
      </x:c>
      <x:c r="D17" s="2" t="s">
        <x:v>96</x:v>
      </x:c>
      <x:c r="E17" s="2" t="s">
        <x:v>56</x:v>
      </x:c>
      <x:c r="F17" s="2" t="s">
        <x:v>57</x:v>
      </x:c>
      <x:c r="G17" s="2" t="s">
        <x:v>58</x:v>
      </x:c>
      <x:c r="H17" s="2" t="s">
        <x:v>97</x:v>
      </x:c>
      <x:c r="I17" s="2" t="s">
        <x:v>60</x:v>
      </x:c>
      <x:c r="J17" s="2" t="s">
        <x:v>98</x:v>
      </x:c>
      <x:c r="K17" s="2" t="s">
        <x:v>99</x:v>
      </x:c>
      <x:c r="L17" s="2" t="s">
        <x:v>63</x:v>
      </x:c>
      <x:c r="M17" s="2">
        <x:v>4</x:v>
      </x:c>
      <x:c r="N17" s="2">
        <x:v>3</x:v>
      </x:c>
      <x:c r="O17" s="2">
        <x:f t="shared" si="0"/>
        <x:v>12</x:v>
      </x:c>
      <x:c r="P17" s="2" t="s">
        <x:v>100</x:v>
      </x:c>
      <x:c r="Q17" s="2" t="s">
        <x:v>101</x:v>
      </x:c>
      <x:c r="R17" s="2" t="s">
        <x:v>102</x:v>
      </x:c>
      <x:c r="S17" s="2" t="s">
        <x:v>103</x:v>
      </x:c>
      <x:c r="T17" s="2" t="s">
        <x:v>104</x:v>
      </x:c>
      <x:c r="U17" s="2">
        <x:v>2</x:v>
      </x:c>
      <x:c r="V17" s="2">
        <x:v>2</x:v>
      </x:c>
      <x:c r="W17" s="2">
        <x:f t="shared" si="1"/>
        <x:v>4</x:v>
      </x:c>
      <x:c r="X17" s="2" t="s">
        <x:v>105</x:v>
      </x:c>
      <x:c r="Y17" s="2" t="s">
        <x:v>70</x:v>
      </x:c>
      <x:c r="Z17" s="2" t="s">
        <x:v>71</x:v>
      </x:c>
      <x:c r="AA17" s="2" t="s">
        <x:v>72</x:v>
      </x:c>
    </x:row>
    <x:row r="18" ht="92.0999984741211" customHeight="1">
      <x:c r="A18" s="2">
        <x:v>5</x:v>
      </x:c>
      <x:c r="B18" s="2" t="s">
        <x:v>95</x:v>
      </x:c>
      <x:c r="C18" s="2">
        <x:v>5</x:v>
      </x:c>
      <x:c r="D18" s="2" t="s">
        <x:v>106</x:v>
      </x:c>
      <x:c r="E18" s="2" t="s">
        <x:v>56</x:v>
      </x:c>
      <x:c r="F18" s="2" t="s">
        <x:v>57</x:v>
      </x:c>
      <x:c r="G18" s="2" t="s">
        <x:v>58</x:v>
      </x:c>
      <x:c r="H18" s="2" t="s">
        <x:v>107</x:v>
      </x:c>
      <x:c r="I18" s="2" t="s">
        <x:v>60</x:v>
      </x:c>
      <x:c r="J18" s="2" t="s">
        <x:v>108</x:v>
      </x:c>
      <x:c r="K18" s="2" t="s">
        <x:v>109</x:v>
      </x:c>
      <x:c r="L18" s="2" t="s">
        <x:v>63</x:v>
      </x:c>
      <x:c r="M18" s="2">
        <x:v>3</x:v>
      </x:c>
      <x:c r="N18" s="2">
        <x:v>4</x:v>
      </x:c>
      <x:c r="O18" s="2">
        <x:f t="shared" si="0"/>
        <x:v>12</x:v>
      </x:c>
      <x:c r="P18" s="2" t="s">
        <x:v>110</x:v>
      </x:c>
      <x:c r="Q18" s="2" t="s">
        <x:v>111</x:v>
      </x:c>
      <x:c r="R18" s="2" t="s">
        <x:v>112</x:v>
      </x:c>
      <x:c r="S18" s="2" t="s">
        <x:v>113</x:v>
      </x:c>
      <x:c r="T18" s="2" t="s">
        <x:v>114</x:v>
      </x:c>
      <x:c r="U18" s="2">
        <x:v>1</x:v>
      </x:c>
      <x:c r="V18" s="2">
        <x:v>3</x:v>
      </x:c>
      <x:c r="W18" s="2">
        <x:f t="shared" si="1"/>
        <x:v>3</x:v>
      </x:c>
      <x:c r="X18" s="2" t="s">
        <x:v>115</x:v>
      </x:c>
      <x:c r="Y18" s="2" t="s">
        <x:v>70</x:v>
      </x:c>
      <x:c r="Z18" s="2" t="s">
        <x:v>71</x:v>
      </x:c>
      <x:c r="AA18" s="2" t="s">
        <x:v>72</x:v>
      </x:c>
    </x:row>
    <x:row r="19" ht="92.0999984741211" customHeight="1">
      <x:c r="A19" s="2">
        <x:v>6</x:v>
      </x:c>
      <x:c r="B19" s="2" t="s">
        <x:v>95</x:v>
      </x:c>
      <x:c r="C19" s="2">
        <x:v>6</x:v>
      </x:c>
      <x:c r="D19" s="2" t="s">
        <x:v>116</x:v>
      </x:c>
      <x:c r="E19" s="2" t="s">
        <x:v>56</x:v>
      </x:c>
      <x:c r="F19" s="2" t="s">
        <x:v>57</x:v>
      </x:c>
      <x:c r="G19" s="2" t="s">
        <x:v>58</x:v>
      </x:c>
      <x:c r="H19" s="2" t="s">
        <x:v>117</x:v>
      </x:c>
      <x:c r="I19" s="2" t="s">
        <x:v>60</x:v>
      </x:c>
      <x:c r="J19" s="2" t="s">
        <x:v>118</x:v>
      </x:c>
      <x:c r="K19" s="2" t="s">
        <x:v>119</x:v>
      </x:c>
      <x:c r="L19" s="2" t="s">
        <x:v>63</x:v>
      </x:c>
      <x:c r="M19" s="2">
        <x:v>4</x:v>
      </x:c>
      <x:c r="N19" s="2">
        <x:v>4</x:v>
      </x:c>
      <x:c r="O19" s="2">
        <x:f t="shared" si="0"/>
        <x:v>16</x:v>
      </x:c>
      <x:c r="P19" s="2" t="s">
        <x:v>120</x:v>
      </x:c>
      <x:c r="Q19" s="2" t="s">
        <x:v>121</x:v>
      </x:c>
      <x:c r="R19" s="2" t="s">
        <x:v>122</x:v>
      </x:c>
      <x:c r="S19" s="2" t="s">
        <x:v>123</x:v>
      </x:c>
      <x:c r="T19" s="2" t="s">
        <x:v>124</x:v>
      </x:c>
      <x:c r="U19" s="2">
        <x:v>2</x:v>
      </x:c>
      <x:c r="V19" s="2">
        <x:v>3</x:v>
      </x:c>
      <x:c r="W19" s="2">
        <x:f t="shared" si="1"/>
        <x:v>6</x:v>
      </x:c>
      <x:c r="X19" s="2" t="s">
        <x:v>125</x:v>
      </x:c>
      <x:c r="Y19" s="2" t="s">
        <x:v>70</x:v>
      </x:c>
      <x:c r="Z19" s="2" t="s">
        <x:v>71</x:v>
      </x:c>
      <x:c r="AA19" s="2" t="s">
        <x:v>72</x:v>
      </x:c>
    </x:row>
    <x:row r="20" ht="92.0999984741211" customHeight="1">
      <x:c r="A20" s="2">
        <x:v>7</x:v>
      </x:c>
      <x:c r="B20" s="2" t="s">
        <x:v>95</x:v>
      </x:c>
      <x:c r="C20" s="2">
        <x:v>7</x:v>
      </x:c>
      <x:c r="D20" s="2" t="s">
        <x:v>126</x:v>
      </x:c>
      <x:c r="E20" s="2" t="s">
        <x:v>56</x:v>
      </x:c>
      <x:c r="F20" s="2" t="s">
        <x:v>57</x:v>
      </x:c>
      <x:c r="G20" s="2" t="s">
        <x:v>58</x:v>
      </x:c>
      <x:c r="H20" s="2" t="s">
        <x:v>127</x:v>
      </x:c>
      <x:c r="I20" s="2" t="s">
        <x:v>60</x:v>
      </x:c>
      <x:c r="J20" s="2" t="s">
        <x:v>128</x:v>
      </x:c>
      <x:c r="K20" s="2" t="s">
        <x:v>129</x:v>
      </x:c>
      <x:c r="L20" s="2" t="s">
        <x:v>63</x:v>
      </x:c>
      <x:c r="M20" s="2">
        <x:v>4</x:v>
      </x:c>
      <x:c r="N20" s="2">
        <x:v>4</x:v>
      </x:c>
      <x:c r="O20" s="2">
        <x:f t="shared" si="0"/>
        <x:v>16</x:v>
      </x:c>
      <x:c r="P20" s="2" t="s">
        <x:v>130</x:v>
      </x:c>
      <x:c r="Q20" s="2" t="s">
        <x:v>131</x:v>
      </x:c>
      <x:c r="R20" s="2" t="s">
        <x:v>132</x:v>
      </x:c>
      <x:c r="S20" s="2" t="s">
        <x:v>133</x:v>
      </x:c>
      <x:c r="T20" s="2" t="s">
        <x:v>134</x:v>
      </x:c>
      <x:c r="U20" s="2">
        <x:v>2</x:v>
      </x:c>
      <x:c r="V20" s="2">
        <x:v>3</x:v>
      </x:c>
      <x:c r="W20" s="2">
        <x:f t="shared" si="1"/>
        <x:v>6</x:v>
      </x:c>
      <x:c r="X20" s="2" t="s">
        <x:v>135</x:v>
      </x:c>
      <x:c r="Y20" s="2" t="s">
        <x:v>70</x:v>
      </x:c>
      <x:c r="Z20" s="2" t="s">
        <x:v>71</x:v>
      </x:c>
      <x:c r="AA20" s="2" t="s">
        <x:v>72</x:v>
      </x:c>
    </x:row>
    <x:row r="21" ht="92.0999984741211" customHeight="1">
      <x:c r="A21" s="2">
        <x:v>8</x:v>
      </x:c>
      <x:c r="B21" s="2" t="s">
        <x:v>95</x:v>
      </x:c>
      <x:c r="C21" s="2">
        <x:v>8</x:v>
      </x:c>
      <x:c r="D21" s="2" t="s">
        <x:v>136</x:v>
      </x:c>
      <x:c r="E21" s="2" t="s">
        <x:v>56</x:v>
      </x:c>
      <x:c r="F21" s="2" t="s">
        <x:v>57</x:v>
      </x:c>
      <x:c r="G21" s="2" t="s">
        <x:v>58</x:v>
      </x:c>
      <x:c r="H21" s="2" t="s">
        <x:v>137</x:v>
      </x:c>
      <x:c r="I21" s="2" t="s">
        <x:v>60</x:v>
      </x:c>
      <x:c r="J21" s="2" t="s">
        <x:v>138</x:v>
      </x:c>
      <x:c r="K21" s="2" t="s">
        <x:v>139</x:v>
      </x:c>
      <x:c r="L21" s="2" t="s">
        <x:v>63</x:v>
      </x:c>
      <x:c r="M21" s="2">
        <x:v>4</x:v>
      </x:c>
      <x:c r="N21" s="2">
        <x:v>3</x:v>
      </x:c>
      <x:c r="O21" s="2">
        <x:f t="shared" si="0"/>
        <x:v>12</x:v>
      </x:c>
      <x:c r="P21" s="2" t="s">
        <x:v>140</x:v>
      </x:c>
      <x:c r="Q21" s="2" t="s">
        <x:v>141</x:v>
      </x:c>
      <x:c r="R21" s="2" t="s">
        <x:v>142</x:v>
      </x:c>
      <x:c r="S21" s="2" t="s">
        <x:v>143</x:v>
      </x:c>
      <x:c r="T21" s="2" t="s">
        <x:v>144</x:v>
      </x:c>
      <x:c r="U21" s="2">
        <x:v>2</x:v>
      </x:c>
      <x:c r="V21" s="2">
        <x:v>2</x:v>
      </x:c>
      <x:c r="W21" s="2">
        <x:f t="shared" si="1"/>
        <x:v>4</x:v>
      </x:c>
      <x:c r="X21" s="2" t="s">
        <x:v>145</x:v>
      </x:c>
      <x:c r="Y21" s="2" t="s">
        <x:v>70</x:v>
      </x:c>
      <x:c r="Z21" s="2" t="s">
        <x:v>71</x:v>
      </x:c>
      <x:c r="AA21" s="2" t="s">
        <x:v>72</x:v>
      </x:c>
    </x:row>
    <x:row r="22" ht="92.0999984741211" customHeight="1">
      <x:c r="A22" s="2">
        <x:v>9</x:v>
      </x:c>
      <x:c r="B22" s="2" t="s">
        <x:v>146</x:v>
      </x:c>
      <x:c r="C22" s="2">
        <x:v>9</x:v>
      </x:c>
      <x:c r="D22" s="2" t="s">
        <x:v>147</x:v>
      </x:c>
      <x:c r="E22" s="2" t="s">
        <x:v>56</x:v>
      </x:c>
      <x:c r="F22" s="2" t="s">
        <x:v>57</x:v>
      </x:c>
      <x:c r="G22" s="2" t="s">
        <x:v>85</x:v>
      </x:c>
      <x:c r="H22" s="2" t="s">
        <x:v>148</x:v>
      </x:c>
      <x:c r="I22" s="2" t="s">
        <x:v>60</x:v>
      </x:c>
      <x:c r="J22" s="2" t="s">
        <x:v>149</x:v>
      </x:c>
      <x:c r="K22" s="2" t="s">
        <x:v>150</x:v>
      </x:c>
      <x:c r="L22" s="2" t="s">
        <x:v>63</x:v>
      </x:c>
      <x:c r="M22" s="2">
        <x:v>4</x:v>
      </x:c>
      <x:c r="N22" s="2">
        <x:v>3</x:v>
      </x:c>
      <x:c r="O22" s="2">
        <x:f t="shared" si="0"/>
        <x:v>12</x:v>
      </x:c>
      <x:c r="P22" s="2" t="s">
        <x:v>151</x:v>
      </x:c>
      <x:c r="Q22" s="2" t="s">
        <x:v>152</x:v>
      </x:c>
      <x:c r="R22" s="2" t="s">
        <x:v>153</x:v>
      </x:c>
      <x:c r="S22" s="2" t="s">
        <x:v>154</x:v>
      </x:c>
      <x:c r="T22" s="2" t="s">
        <x:v>155</x:v>
      </x:c>
      <x:c r="U22" s="2">
        <x:v>2</x:v>
      </x:c>
      <x:c r="V22" s="2">
        <x:v>2</x:v>
      </x:c>
      <x:c r="W22" s="2">
        <x:f t="shared" si="1"/>
        <x:v>4</x:v>
      </x:c>
      <x:c r="X22" s="2" t="s">
        <x:v>156</x:v>
      </x:c>
      <x:c r="Y22" s="2" t="s">
        <x:v>70</x:v>
      </x:c>
      <x:c r="Z22" s="2" t="s">
        <x:v>71</x:v>
      </x:c>
      <x:c r="AA22" s="2" t="s">
        <x:v>72</x:v>
      </x:c>
    </x:row>
    <x:row r="23" ht="92.0999984741211" customHeight="1">
      <x:c r="A23" s="2">
        <x:v>10</x:v>
      </x:c>
      <x:c r="B23" s="2" t="s">
        <x:v>146</x:v>
      </x:c>
      <x:c r="C23" s="2">
        <x:v>10</x:v>
      </x:c>
      <x:c r="D23" s="2" t="s">
        <x:v>157</x:v>
      </x:c>
      <x:c r="E23" s="2" t="s">
        <x:v>56</x:v>
      </x:c>
      <x:c r="F23" s="2" t="s">
        <x:v>57</x:v>
      </x:c>
      <x:c r="G23" s="2" t="s">
        <x:v>58</x:v>
      </x:c>
      <x:c r="H23" s="2" t="s">
        <x:v>158</x:v>
      </x:c>
      <x:c r="I23" s="2" t="s">
        <x:v>60</x:v>
      </x:c>
      <x:c r="J23" s="2" t="s">
        <x:v>159</x:v>
      </x:c>
      <x:c r="K23" s="2" t="s">
        <x:v>160</x:v>
      </x:c>
      <x:c r="L23" s="2" t="s">
        <x:v>63</x:v>
      </x:c>
      <x:c r="M23" s="2">
        <x:v>4</x:v>
      </x:c>
      <x:c r="N23" s="2">
        <x:v>4</x:v>
      </x:c>
      <x:c r="O23" s="2">
        <x:f t="shared" si="0"/>
        <x:v>16</x:v>
      </x:c>
      <x:c r="P23" s="2" t="s">
        <x:v>161</x:v>
      </x:c>
      <x:c r="Q23" s="2" t="s">
        <x:v>162</x:v>
      </x:c>
      <x:c r="R23" s="2" t="s">
        <x:v>163</x:v>
      </x:c>
      <x:c r="S23" s="2" t="s">
        <x:v>164</x:v>
      </x:c>
      <x:c r="T23" s="2" t="s">
        <x:v>165</x:v>
      </x:c>
      <x:c r="U23" s="2">
        <x:v>2</x:v>
      </x:c>
      <x:c r="V23" s="2">
        <x:v>3</x:v>
      </x:c>
      <x:c r="W23" s="2">
        <x:f t="shared" si="1"/>
        <x:v>6</x:v>
      </x:c>
      <x:c r="X23" s="2" t="s">
        <x:v>166</x:v>
      </x:c>
      <x:c r="Y23" s="2" t="s">
        <x:v>70</x:v>
      </x:c>
      <x:c r="Z23" s="2" t="s">
        <x:v>71</x:v>
      </x:c>
      <x:c r="AA23" s="2" t="s">
        <x:v>72</x:v>
      </x:c>
    </x:row>
    <x:row r="24" ht="92.0999984741211" customHeight="1">
      <x:c r="A24" s="2">
        <x:v>11</x:v>
      </x:c>
      <x:c r="B24" s="2" t="s">
        <x:v>167</x:v>
      </x:c>
      <x:c r="C24" s="2">
        <x:v>11</x:v>
      </x:c>
      <x:c r="D24" s="2" t="s">
        <x:v>168</x:v>
      </x:c>
      <x:c r="E24" s="2" t="s">
        <x:v>56</x:v>
      </x:c>
      <x:c r="F24" s="2" t="s">
        <x:v>57</x:v>
      </x:c>
      <x:c r="G24" s="2" t="s">
        <x:v>58</x:v>
      </x:c>
      <x:c r="H24" s="2" t="s">
        <x:v>169</x:v>
      </x:c>
      <x:c r="I24" s="2" t="s">
        <x:v>60</x:v>
      </x:c>
      <x:c r="J24" s="2" t="s">
        <x:v>170</x:v>
      </x:c>
      <x:c r="K24" s="2" t="s">
        <x:v>171</x:v>
      </x:c>
      <x:c r="L24" s="2" t="s">
        <x:v>63</x:v>
      </x:c>
      <x:c r="M24" s="2">
        <x:v>4</x:v>
      </x:c>
      <x:c r="N24" s="2">
        <x:v>3</x:v>
      </x:c>
      <x:c r="O24" s="2">
        <x:f t="shared" si="0"/>
        <x:v>12</x:v>
      </x:c>
      <x:c r="P24" s="2" t="s">
        <x:v>172</x:v>
      </x:c>
      <x:c r="Q24" s="2" t="s">
        <x:v>173</x:v>
      </x:c>
      <x:c r="R24" s="2" t="s">
        <x:v>174</x:v>
      </x:c>
      <x:c r="S24" s="2" t="s">
        <x:v>175</x:v>
      </x:c>
      <x:c r="T24" s="2" t="s">
        <x:v>176</x:v>
      </x:c>
      <x:c r="U24" s="2">
        <x:v>1</x:v>
      </x:c>
      <x:c r="V24" s="2">
        <x:v>3</x:v>
      </x:c>
      <x:c r="W24" s="2">
        <x:f t="shared" si="1"/>
        <x:v>3</x:v>
      </x:c>
      <x:c r="X24" s="2" t="s">
        <x:v>177</x:v>
      </x:c>
      <x:c r="Y24" s="2" t="s">
        <x:v>70</x:v>
      </x:c>
      <x:c r="Z24" s="2" t="s">
        <x:v>71</x:v>
      </x:c>
      <x:c r="AA24" s="2" t="s">
        <x:v>72</x:v>
      </x:c>
    </x:row>
    <x:row r="25" ht="92.0999984741211" customHeight="1">
      <x:c r="A25" s="2">
        <x:v>12</x:v>
      </x:c>
      <x:c r="B25" s="2" t="s">
        <x:v>167</x:v>
      </x:c>
      <x:c r="C25" s="2">
        <x:v>12</x:v>
      </x:c>
      <x:c r="D25" s="2" t="s">
        <x:v>178</x:v>
      </x:c>
      <x:c r="E25" s="2" t="s">
        <x:v>56</x:v>
      </x:c>
      <x:c r="F25" s="2" t="s">
        <x:v>57</x:v>
      </x:c>
      <x:c r="G25" s="2" t="s">
        <x:v>58</x:v>
      </x:c>
      <x:c r="H25" s="2" t="s">
        <x:v>179</x:v>
      </x:c>
      <x:c r="I25" s="2" t="s">
        <x:v>60</x:v>
      </x:c>
      <x:c r="J25" s="2" t="s">
        <x:v>180</x:v>
      </x:c>
      <x:c r="K25" s="2" t="s">
        <x:v>181</x:v>
      </x:c>
      <x:c r="L25" s="2" t="s">
        <x:v>63</x:v>
      </x:c>
      <x:c r="M25" s="2">
        <x:v>3</x:v>
      </x:c>
      <x:c r="N25" s="2">
        <x:v>3</x:v>
      </x:c>
      <x:c r="O25" s="2">
        <x:f t="shared" si="0"/>
        <x:v>9</x:v>
      </x:c>
      <x:c r="P25" s="2" t="s">
        <x:v>182</x:v>
      </x:c>
      <x:c r="Q25" s="2" t="s">
        <x:v>183</x:v>
      </x:c>
      <x:c r="R25" s="2" t="s">
        <x:v>184</x:v>
      </x:c>
      <x:c r="S25" s="2" t="s">
        <x:v>185</x:v>
      </x:c>
      <x:c r="T25" s="2" t="s">
        <x:v>186</x:v>
      </x:c>
      <x:c r="U25" s="2">
        <x:v>1</x:v>
      </x:c>
      <x:c r="V25" s="2">
        <x:v>2</x:v>
      </x:c>
      <x:c r="W25" s="2">
        <x:f t="shared" si="1"/>
        <x:v>2</x:v>
      </x:c>
      <x:c r="X25" s="2" t="s">
        <x:v>187</x:v>
      </x:c>
      <x:c r="Y25" s="2" t="s">
        <x:v>70</x:v>
      </x:c>
      <x:c r="Z25" s="2" t="s">
        <x:v>71</x:v>
      </x:c>
      <x:c r="AA25" s="2" t="s">
        <x:v>72</x:v>
      </x:c>
    </x:row>
    <x:row r="26" ht="92.0999984741211" customHeight="1">
      <x:c r="A26" s="2">
        <x:v>13</x:v>
      </x:c>
      <x:c r="B26" s="2" t="s">
        <x:v>188</x:v>
      </x:c>
      <x:c r="C26" s="2">
        <x:v>13</x:v>
      </x:c>
      <x:c r="D26" s="2" t="s">
        <x:v>189</x:v>
      </x:c>
      <x:c r="E26" s="2" t="s">
        <x:v>56</x:v>
      </x:c>
      <x:c r="F26" s="2" t="s">
        <x:v>57</x:v>
      </x:c>
      <x:c r="G26" s="2" t="s">
        <x:v>58</x:v>
      </x:c>
      <x:c r="H26" s="2" t="s">
        <x:v>190</x:v>
      </x:c>
      <x:c r="I26" s="2" t="s">
        <x:v>60</x:v>
      </x:c>
      <x:c r="J26" s="2" t="s">
        <x:v>191</x:v>
      </x:c>
      <x:c r="K26" s="2" t="s">
        <x:v>192</x:v>
      </x:c>
      <x:c r="L26" s="2" t="s">
        <x:v>63</x:v>
      </x:c>
      <x:c r="M26" s="2">
        <x:v>4</x:v>
      </x:c>
      <x:c r="N26" s="2">
        <x:v>5</x:v>
      </x:c>
      <x:c r="O26" s="2">
        <x:f t="shared" si="0"/>
        <x:v>20</x:v>
      </x:c>
      <x:c r="P26" s="2" t="s">
        <x:v>193</x:v>
      </x:c>
      <x:c r="Q26" s="2" t="s">
        <x:v>68</x:v>
      </x:c>
      <x:c r="R26" s="2" t="s">
        <x:v>194</x:v>
      </x:c>
      <x:c r="S26" s="2" t="s">
        <x:v>195</x:v>
      </x:c>
      <x:c r="T26" s="2" t="s">
        <x:v>196</x:v>
      </x:c>
      <x:c r="U26" s="2">
        <x:v>1</x:v>
      </x:c>
      <x:c r="V26" s="2">
        <x:v>5</x:v>
      </x:c>
      <x:c r="W26" s="2">
        <x:f t="shared" si="1"/>
        <x:v>5</x:v>
      </x:c>
      <x:c r="X26" s="2" t="s">
        <x:v>197</x:v>
      </x:c>
      <x:c r="Y26" s="2" t="s">
        <x:v>70</x:v>
      </x:c>
      <x:c r="Z26" s="2" t="s">
        <x:v>71</x:v>
      </x:c>
      <x:c r="AA26" s="2" t="s">
        <x:v>72</x:v>
      </x:c>
    </x:row>
    <x:row r="27" ht="92.0999984741211" customHeight="1">
      <x:c r="A27" s="2">
        <x:v>14</x:v>
      </x:c>
      <x:c r="B27" s="2" t="s">
        <x:v>188</x:v>
      </x:c>
      <x:c r="C27" s="2">
        <x:v>14</x:v>
      </x:c>
      <x:c r="D27" s="2" t="s">
        <x:v>198</x:v>
      </x:c>
      <x:c r="E27" s="2" t="s">
        <x:v>56</x:v>
      </x:c>
      <x:c r="F27" s="2" t="s">
        <x:v>57</x:v>
      </x:c>
      <x:c r="G27" s="2" t="s">
        <x:v>58</x:v>
      </x:c>
      <x:c r="H27" s="2" t="s">
        <x:v>199</x:v>
      </x:c>
      <x:c r="I27" s="2" t="s">
        <x:v>60</x:v>
      </x:c>
      <x:c r="J27" s="2" t="s">
        <x:v>200</x:v>
      </x:c>
      <x:c r="K27" s="2" t="s">
        <x:v>201</x:v>
      </x:c>
      <x:c r="L27" s="2" t="s">
        <x:v>63</x:v>
      </x:c>
      <x:c r="M27" s="2">
        <x:v>4</x:v>
      </x:c>
      <x:c r="N27" s="2">
        <x:v>5</x:v>
      </x:c>
      <x:c r="O27" s="2">
        <x:f t="shared" si="0"/>
        <x:v>20</x:v>
      </x:c>
      <x:c r="P27" s="2" t="s">
        <x:v>202</x:v>
      </x:c>
      <x:c r="Q27" s="2" t="s">
        <x:v>203</x:v>
      </x:c>
      <x:c r="R27" s="2" t="s">
        <x:v>204</x:v>
      </x:c>
      <x:c r="S27" s="2" t="s">
        <x:v>205</x:v>
      </x:c>
      <x:c r="T27" s="2" t="s">
        <x:v>68</x:v>
      </x:c>
      <x:c r="U27" s="2">
        <x:v>1</x:v>
      </x:c>
      <x:c r="V27" s="2">
        <x:v>5</x:v>
      </x:c>
      <x:c r="W27" s="2">
        <x:f t="shared" si="1"/>
        <x:v>5</x:v>
      </x:c>
      <x:c r="X27" s="2" t="s">
        <x:v>206</x:v>
      </x:c>
      <x:c r="Y27" s="2" t="s">
        <x:v>70</x:v>
      </x:c>
      <x:c r="Z27" s="2" t="s">
        <x:v>71</x:v>
      </x:c>
      <x:c r="AA27" s="2" t="s">
        <x:v>72</x:v>
      </x:c>
    </x:row>
    <x:row r="28" ht="92.0999984741211" customHeight="1">
      <x:c r="A28" s="2">
        <x:v>15</x:v>
      </x:c>
      <x:c r="B28" s="2" t="s">
        <x:v>188</x:v>
      </x:c>
      <x:c r="C28" s="2">
        <x:v>15</x:v>
      </x:c>
      <x:c r="D28" s="2" t="s">
        <x:v>207</x:v>
      </x:c>
      <x:c r="E28" s="2" t="s">
        <x:v>56</x:v>
      </x:c>
      <x:c r="F28" s="2" t="s">
        <x:v>57</x:v>
      </x:c>
      <x:c r="G28" s="2" t="s">
        <x:v>58</x:v>
      </x:c>
      <x:c r="H28" s="2" t="s">
        <x:v>208</x:v>
      </x:c>
      <x:c r="I28" s="2" t="s">
        <x:v>60</x:v>
      </x:c>
      <x:c r="J28" s="2" t="s">
        <x:v>209</x:v>
      </x:c>
      <x:c r="K28" s="2" t="s">
        <x:v>210</x:v>
      </x:c>
      <x:c r="L28" s="2" t="s">
        <x:v>63</x:v>
      </x:c>
      <x:c r="M28" s="2">
        <x:v>4</x:v>
      </x:c>
      <x:c r="N28" s="2">
        <x:v>5</x:v>
      </x:c>
      <x:c r="O28" s="2">
        <x:f t="shared" si="0"/>
        <x:v>20</x:v>
      </x:c>
      <x:c r="P28" s="2" t="s">
        <x:v>211</x:v>
      </x:c>
      <x:c r="Q28" s="2" t="s">
        <x:v>212</x:v>
      </x:c>
      <x:c r="R28" s="2" t="s">
        <x:v>213</x:v>
      </x:c>
      <x:c r="S28" s="2" t="s">
        <x:v>214</x:v>
      </x:c>
      <x:c r="T28" s="2" t="s">
        <x:v>215</x:v>
      </x:c>
      <x:c r="U28" s="2">
        <x:v>1</x:v>
      </x:c>
      <x:c r="V28" s="2">
        <x:v>4</x:v>
      </x:c>
      <x:c r="W28" s="2">
        <x:f t="shared" si="1"/>
        <x:v>4</x:v>
      </x:c>
      <x:c r="X28" s="2" t="s">
        <x:v>216</x:v>
      </x:c>
      <x:c r="Y28" s="2" t="s">
        <x:v>70</x:v>
      </x:c>
      <x:c r="Z28" s="2" t="s">
        <x:v>71</x:v>
      </x:c>
      <x:c r="AA28" s="2" t="s">
        <x:v>72</x:v>
      </x:c>
    </x:row>
    <x:row r="29" ht="92.0999984741211" customHeight="1">
      <x:c r="A29" s="2">
        <x:v>16</x:v>
      </x:c>
      <x:c r="B29" s="2" t="s">
        <x:v>188</x:v>
      </x:c>
      <x:c r="C29" s="2">
        <x:v>16</x:v>
      </x:c>
      <x:c r="D29" s="2" t="s">
        <x:v>217</x:v>
      </x:c>
      <x:c r="E29" s="2" t="s">
        <x:v>56</x:v>
      </x:c>
      <x:c r="F29" s="2" t="s">
        <x:v>57</x:v>
      </x:c>
      <x:c r="G29" s="2" t="s">
        <x:v>58</x:v>
      </x:c>
      <x:c r="H29" s="2" t="s">
        <x:v>218</x:v>
      </x:c>
      <x:c r="I29" s="2" t="s">
        <x:v>60</x:v>
      </x:c>
      <x:c r="J29" s="2" t="s">
        <x:v>219</x:v>
      </x:c>
      <x:c r="K29" s="2" t="s">
        <x:v>220</x:v>
      </x:c>
      <x:c r="L29" s="2" t="s">
        <x:v>63</x:v>
      </x:c>
      <x:c r="M29" s="2">
        <x:v>4</x:v>
      </x:c>
      <x:c r="N29" s="2">
        <x:v>5</x:v>
      </x:c>
      <x:c r="O29" s="2">
        <x:f t="shared" si="0"/>
        <x:v>20</x:v>
      </x:c>
      <x:c r="P29" s="2" t="s">
        <x:v>221</x:v>
      </x:c>
      <x:c r="Q29" s="2" t="s">
        <x:v>68</x:v>
      </x:c>
      <x:c r="R29" s="2" t="s">
        <x:v>222</x:v>
      </x:c>
      <x:c r="S29" s="2" t="s">
        <x:v>223</x:v>
      </x:c>
      <x:c r="T29" s="2" t="s">
        <x:v>224</x:v>
      </x:c>
      <x:c r="U29" s="2">
        <x:v>1</x:v>
      </x:c>
      <x:c r="V29" s="2">
        <x:v>5</x:v>
      </x:c>
      <x:c r="W29" s="2">
        <x:f t="shared" si="1"/>
        <x:v>5</x:v>
      </x:c>
      <x:c r="X29" s="2" t="s">
        <x:v>225</x:v>
      </x:c>
      <x:c r="Y29" s="2" t="s">
        <x:v>70</x:v>
      </x:c>
      <x:c r="Z29" s="2" t="s">
        <x:v>71</x:v>
      </x:c>
      <x:c r="AA29" s="2" t="s">
        <x:v>72</x:v>
      </x:c>
    </x:row>
    <x:row r="30" ht="92.0999984741211" customHeight="1">
      <x:c r="A30" s="2">
        <x:v>17</x:v>
      </x:c>
      <x:c r="B30" s="2" t="s">
        <x:v>188</x:v>
      </x:c>
      <x:c r="C30" s="2">
        <x:v>17</x:v>
      </x:c>
      <x:c r="D30" s="2" t="s">
        <x:v>226</x:v>
      </x:c>
      <x:c r="E30" s="2" t="s">
        <x:v>56</x:v>
      </x:c>
      <x:c r="F30" s="2" t="s">
        <x:v>57</x:v>
      </x:c>
      <x:c r="G30" s="2" t="s">
        <x:v>58</x:v>
      </x:c>
      <x:c r="H30" s="2" t="s">
        <x:v>227</x:v>
      </x:c>
      <x:c r="I30" s="2" t="s">
        <x:v>60</x:v>
      </x:c>
      <x:c r="J30" s="2" t="s">
        <x:v>228</x:v>
      </x:c>
      <x:c r="K30" s="2" t="s">
        <x:v>229</x:v>
      </x:c>
      <x:c r="L30" s="2" t="s">
        <x:v>63</x:v>
      </x:c>
      <x:c r="M30" s="2">
        <x:v>3</x:v>
      </x:c>
      <x:c r="N30" s="2">
        <x:v>4</x:v>
      </x:c>
      <x:c r="O30" s="2">
        <x:f t="shared" si="0"/>
        <x:v>12</x:v>
      </x:c>
      <x:c r="P30" s="2" t="s">
        <x:v>230</x:v>
      </x:c>
      <x:c r="Q30" s="2" t="s">
        <x:v>231</x:v>
      </x:c>
      <x:c r="R30" s="2" t="s">
        <x:v>232</x:v>
      </x:c>
      <x:c r="S30" s="2" t="s">
        <x:v>233</x:v>
      </x:c>
      <x:c r="T30" s="2" t="s">
        <x:v>68</x:v>
      </x:c>
      <x:c r="U30" s="2">
        <x:v>1</x:v>
      </x:c>
      <x:c r="V30" s="2">
        <x:v>3</x:v>
      </x:c>
      <x:c r="W30" s="2">
        <x:f t="shared" si="1"/>
        <x:v>3</x:v>
      </x:c>
      <x:c r="X30" s="2" t="s">
        <x:v>234</x:v>
      </x:c>
      <x:c r="Y30" s="2" t="s">
        <x:v>70</x:v>
      </x:c>
      <x:c r="Z30" s="2" t="s">
        <x:v>71</x:v>
      </x:c>
      <x:c r="AA30" s="2" t="s">
        <x:v>72</x:v>
      </x:c>
    </x:row>
    <x:row r="31" ht="92.0999984741211" customHeight="1">
      <x:c r="A31" s="2">
        <x:v>18</x:v>
      </x:c>
      <x:c r="B31" s="2" t="s">
        <x:v>188</x:v>
      </x:c>
      <x:c r="C31" s="2">
        <x:v>18</x:v>
      </x:c>
      <x:c r="D31" s="2" t="s">
        <x:v>235</x:v>
      </x:c>
      <x:c r="E31" s="2" t="s">
        <x:v>56</x:v>
      </x:c>
      <x:c r="F31" s="2" t="s">
        <x:v>57</x:v>
      </x:c>
      <x:c r="G31" s="2" t="s">
        <x:v>58</x:v>
      </x:c>
      <x:c r="H31" s="2" t="s">
        <x:v>236</x:v>
      </x:c>
      <x:c r="I31" s="2" t="s">
        <x:v>60</x:v>
      </x:c>
      <x:c r="J31" s="2" t="s">
        <x:v>237</x:v>
      </x:c>
      <x:c r="K31" s="2" t="s">
        <x:v>238</x:v>
      </x:c>
      <x:c r="L31" s="2" t="s">
        <x:v>63</x:v>
      </x:c>
      <x:c r="M31" s="2">
        <x:v>4</x:v>
      </x:c>
      <x:c r="N31" s="2">
        <x:v>5</x:v>
      </x:c>
      <x:c r="O31" s="2">
        <x:f t="shared" si="0"/>
        <x:v>20</x:v>
      </x:c>
      <x:c r="P31" s="2" t="s">
        <x:v>239</x:v>
      </x:c>
      <x:c r="Q31" s="2" t="s">
        <x:v>240</x:v>
      </x:c>
      <x:c r="R31" s="2" t="s">
        <x:v>241</x:v>
      </x:c>
      <x:c r="S31" s="2" t="s">
        <x:v>242</x:v>
      </x:c>
      <x:c r="T31" s="2" t="s">
        <x:v>243</x:v>
      </x:c>
      <x:c r="U31" s="2">
        <x:v>1</x:v>
      </x:c>
      <x:c r="V31" s="2">
        <x:v>5</x:v>
      </x:c>
      <x:c r="W31" s="2">
        <x:f t="shared" si="1"/>
        <x:v>5</x:v>
      </x:c>
      <x:c r="X31" s="2" t="s">
        <x:v>244</x:v>
      </x:c>
      <x:c r="Y31" s="2" t="s">
        <x:v>70</x:v>
      </x:c>
      <x:c r="Z31" s="2" t="s">
        <x:v>71</x:v>
      </x:c>
      <x:c r="AA31" s="2" t="s">
        <x:v>72</x:v>
      </x:c>
    </x:row>
    <x:row r="32" ht="92.0999984741211" customHeight="1">
      <x:c r="A32" s="2">
        <x:v>19</x:v>
      </x:c>
      <x:c r="B32" s="2" t="s">
        <x:v>188</x:v>
      </x:c>
      <x:c r="C32" s="2">
        <x:v>19</x:v>
      </x:c>
      <x:c r="D32" s="2" t="s">
        <x:v>245</x:v>
      </x:c>
      <x:c r="E32" s="2" t="s">
        <x:v>56</x:v>
      </x:c>
      <x:c r="F32" s="2" t="s">
        <x:v>57</x:v>
      </x:c>
      <x:c r="G32" s="2" t="s">
        <x:v>58</x:v>
      </x:c>
      <x:c r="H32" s="2" t="s">
        <x:v>246</x:v>
      </x:c>
      <x:c r="I32" s="2" t="s">
        <x:v>60</x:v>
      </x:c>
      <x:c r="J32" s="2" t="s">
        <x:v>247</x:v>
      </x:c>
      <x:c r="K32" s="2" t="s">
        <x:v>248</x:v>
      </x:c>
      <x:c r="L32" s="2" t="s">
        <x:v>63</x:v>
      </x:c>
      <x:c r="M32" s="2">
        <x:v>4</x:v>
      </x:c>
      <x:c r="N32" s="2">
        <x:v>5</x:v>
      </x:c>
      <x:c r="O32" s="2">
        <x:f t="shared" si="0"/>
        <x:v>20</x:v>
      </x:c>
      <x:c r="P32" s="2" t="s">
        <x:v>249</x:v>
      </x:c>
      <x:c r="Q32" s="2" t="s">
        <x:v>250</x:v>
      </x:c>
      <x:c r="R32" s="2" t="s">
        <x:v>251</x:v>
      </x:c>
      <x:c r="S32" s="2" t="s">
        <x:v>252</x:v>
      </x:c>
      <x:c r="T32" s="2" t="s">
        <x:v>68</x:v>
      </x:c>
      <x:c r="U32" s="2">
        <x:v>1</x:v>
      </x:c>
      <x:c r="V32" s="2">
        <x:v>5</x:v>
      </x:c>
      <x:c r="W32" s="2">
        <x:f t="shared" si="1"/>
        <x:v>5</x:v>
      </x:c>
      <x:c r="X32" s="2" t="s">
        <x:v>253</x:v>
      </x:c>
      <x:c r="Y32" s="2" t="s">
        <x:v>70</x:v>
      </x:c>
      <x:c r="Z32" s="2" t="s">
        <x:v>71</x:v>
      </x:c>
      <x:c r="AA32" s="2" t="s">
        <x:v>72</x:v>
      </x:c>
    </x:row>
    <x:row r="33" ht="92.0999984741211" customHeight="1">
      <x:c r="A33" s="2">
        <x:v>20</x:v>
      </x:c>
      <x:c r="B33" s="2" t="s">
        <x:v>254</x:v>
      </x:c>
      <x:c r="C33" s="2">
        <x:v>20</x:v>
      </x:c>
      <x:c r="D33" s="2" t="s">
        <x:v>255</x:v>
      </x:c>
      <x:c r="E33" s="2" t="s">
        <x:v>56</x:v>
      </x:c>
      <x:c r="F33" s="2" t="s">
        <x:v>57</x:v>
      </x:c>
      <x:c r="G33" s="2" t="s">
        <x:v>58</x:v>
      </x:c>
      <x:c r="H33" s="2" t="s">
        <x:v>256</x:v>
      </x:c>
      <x:c r="I33" s="2" t="s">
        <x:v>60</x:v>
      </x:c>
      <x:c r="J33" s="2" t="s">
        <x:v>257</x:v>
      </x:c>
      <x:c r="K33" s="2" t="s">
        <x:v>258</x:v>
      </x:c>
      <x:c r="L33" s="2" t="s">
        <x:v>63</x:v>
      </x:c>
      <x:c r="M33" s="2">
        <x:v>4</x:v>
      </x:c>
      <x:c r="N33" s="2">
        <x:v>4</x:v>
      </x:c>
      <x:c r="O33" s="2">
        <x:f t="shared" si="0"/>
        <x:v>16</x:v>
      </x:c>
      <x:c r="P33" s="2" t="s">
        <x:v>259</x:v>
      </x:c>
      <x:c r="Q33" s="2" t="s">
        <x:v>260</x:v>
      </x:c>
      <x:c r="R33" s="2" t="s">
        <x:v>261</x:v>
      </x:c>
      <x:c r="S33" s="2" t="s">
        <x:v>262</x:v>
      </x:c>
      <x:c r="T33" s="2" t="s">
        <x:v>263</x:v>
      </x:c>
      <x:c r="U33" s="2">
        <x:v>2</x:v>
      </x:c>
      <x:c r="V33" s="2">
        <x:v>3</x:v>
      </x:c>
      <x:c r="W33" s="2">
        <x:f t="shared" si="1"/>
        <x:v>6</x:v>
      </x:c>
      <x:c r="X33" s="2" t="s">
        <x:v>264</x:v>
      </x:c>
      <x:c r="Y33" s="2" t="s">
        <x:v>70</x:v>
      </x:c>
      <x:c r="Z33" s="2" t="s">
        <x:v>71</x:v>
      </x:c>
      <x:c r="AA33" s="2" t="s">
        <x:v>72</x:v>
      </x:c>
    </x:row>
    <x:row r="34" ht="92.0999984741211" customHeight="1">
      <x:c r="A34" s="2">
        <x:v>21</x:v>
      </x:c>
      <x:c r="B34" s="2" t="s">
        <x:v>254</x:v>
      </x:c>
      <x:c r="C34" s="2">
        <x:v>21</x:v>
      </x:c>
      <x:c r="D34" s="2" t="s">
        <x:v>265</x:v>
      </x:c>
      <x:c r="E34" s="2" t="s">
        <x:v>56</x:v>
      </x:c>
      <x:c r="F34" s="2" t="s">
        <x:v>57</x:v>
      </x:c>
      <x:c r="G34" s="2" t="s">
        <x:v>58</x:v>
      </x:c>
      <x:c r="H34" s="2" t="s">
        <x:v>266</x:v>
      </x:c>
      <x:c r="I34" s="2" t="s">
        <x:v>60</x:v>
      </x:c>
      <x:c r="J34" s="2" t="s">
        <x:v>267</x:v>
      </x:c>
      <x:c r="K34" s="2" t="s">
        <x:v>268</x:v>
      </x:c>
      <x:c r="L34" s="2" t="s">
        <x:v>63</x:v>
      </x:c>
      <x:c r="M34" s="2">
        <x:v>4</x:v>
      </x:c>
      <x:c r="N34" s="2">
        <x:v>5</x:v>
      </x:c>
      <x:c r="O34" s="2">
        <x:f t="shared" si="0"/>
        <x:v>20</x:v>
      </x:c>
      <x:c r="P34" s="2" t="s">
        <x:v>269</x:v>
      </x:c>
      <x:c r="Q34" s="2" t="s">
        <x:v>270</x:v>
      </x:c>
      <x:c r="R34" s="2" t="s">
        <x:v>271</x:v>
      </x:c>
      <x:c r="S34" s="2" t="s">
        <x:v>272</x:v>
      </x:c>
      <x:c r="T34" s="2" t="s">
        <x:v>68</x:v>
      </x:c>
      <x:c r="U34" s="2">
        <x:v>1</x:v>
      </x:c>
      <x:c r="V34" s="2">
        <x:v>5</x:v>
      </x:c>
      <x:c r="W34" s="2">
        <x:f t="shared" si="1"/>
        <x:v>5</x:v>
      </x:c>
      <x:c r="X34" s="2" t="s">
        <x:v>273</x:v>
      </x:c>
      <x:c r="Y34" s="2" t="s">
        <x:v>70</x:v>
      </x:c>
      <x:c r="Z34" s="2" t="s">
        <x:v>71</x:v>
      </x:c>
      <x:c r="AA34" s="2" t="s">
        <x:v>72</x:v>
      </x:c>
    </x:row>
    <x:row r="35" ht="92.0999984741211" customHeight="1">
      <x:c r="A35" s="2">
        <x:v>22</x:v>
      </x:c>
      <x:c r="B35" s="2" t="s">
        <x:v>254</x:v>
      </x:c>
      <x:c r="C35" s="2">
        <x:v>22</x:v>
      </x:c>
      <x:c r="D35" s="2" t="s">
        <x:v>274</x:v>
      </x:c>
      <x:c r="E35" s="2" t="s">
        <x:v>56</x:v>
      </x:c>
      <x:c r="F35" s="2" t="s">
        <x:v>57</x:v>
      </x:c>
      <x:c r="G35" s="2" t="s">
        <x:v>58</x:v>
      </x:c>
      <x:c r="H35" s="2" t="s">
        <x:v>275</x:v>
      </x:c>
      <x:c r="I35" s="2" t="s">
        <x:v>60</x:v>
      </x:c>
      <x:c r="J35" s="2" t="s">
        <x:v>276</x:v>
      </x:c>
      <x:c r="K35" s="2" t="s">
        <x:v>277</x:v>
      </x:c>
      <x:c r="L35" s="2" t="s">
        <x:v>63</x:v>
      </x:c>
      <x:c r="M35" s="2">
        <x:v>3</x:v>
      </x:c>
      <x:c r="N35" s="2">
        <x:v>4</x:v>
      </x:c>
      <x:c r="O35" s="2">
        <x:f t="shared" si="0"/>
        <x:v>12</x:v>
      </x:c>
      <x:c r="P35" s="2" t="s">
        <x:v>278</x:v>
      </x:c>
      <x:c r="Q35" s="2" t="s">
        <x:v>68</x:v>
      </x:c>
      <x:c r="R35" s="2" t="s">
        <x:v>279</x:v>
      </x:c>
      <x:c r="S35" s="2" t="s">
        <x:v>280</x:v>
      </x:c>
      <x:c r="T35" s="2" t="s">
        <x:v>68</x:v>
      </x:c>
      <x:c r="U35" s="2">
        <x:v>1</x:v>
      </x:c>
      <x:c r="V35" s="2">
        <x:v>3</x:v>
      </x:c>
      <x:c r="W35" s="2">
        <x:f t="shared" si="1"/>
        <x:v>3</x:v>
      </x:c>
      <x:c r="X35" s="2" t="s">
        <x:v>281</x:v>
      </x:c>
      <x:c r="Y35" s="2" t="s">
        <x:v>70</x:v>
      </x:c>
      <x:c r="Z35" s="2" t="s">
        <x:v>71</x:v>
      </x:c>
      <x:c r="AA35" s="2" t="s">
        <x:v>72</x:v>
      </x:c>
    </x:row>
    <x:row r="36" ht="92.0999984741211" customHeight="1">
      <x:c r="A36" s="2">
        <x:v>23</x:v>
      </x:c>
      <x:c r="B36" s="2" t="s">
        <x:v>254</x:v>
      </x:c>
      <x:c r="C36" s="2">
        <x:v>23</x:v>
      </x:c>
      <x:c r="D36" s="2" t="s">
        <x:v>282</x:v>
      </x:c>
      <x:c r="E36" s="2" t="s">
        <x:v>56</x:v>
      </x:c>
      <x:c r="F36" s="2" t="s">
        <x:v>57</x:v>
      </x:c>
      <x:c r="G36" s="2" t="s">
        <x:v>58</x:v>
      </x:c>
      <x:c r="H36" s="2" t="s">
        <x:v>283</x:v>
      </x:c>
      <x:c r="I36" s="2" t="s">
        <x:v>60</x:v>
      </x:c>
      <x:c r="J36" s="2" t="s">
        <x:v>284</x:v>
      </x:c>
      <x:c r="K36" s="2" t="s">
        <x:v>285</x:v>
      </x:c>
      <x:c r="L36" s="2" t="s">
        <x:v>63</x:v>
      </x:c>
      <x:c r="M36" s="2">
        <x:v>3</x:v>
      </x:c>
      <x:c r="N36" s="2">
        <x:v>4</x:v>
      </x:c>
      <x:c r="O36" s="2">
        <x:f t="shared" si="0"/>
        <x:v>12</x:v>
      </x:c>
      <x:c r="P36" s="2" t="s">
        <x:v>286</x:v>
      </x:c>
      <x:c r="Q36" s="2" t="s">
        <x:v>287</x:v>
      </x:c>
      <x:c r="R36" s="2" t="s">
        <x:v>288</x:v>
      </x:c>
      <x:c r="S36" s="2" t="s">
        <x:v>289</x:v>
      </x:c>
      <x:c r="T36" s="2" t="s">
        <x:v>290</x:v>
      </x:c>
      <x:c r="U36" s="2">
        <x:v>1</x:v>
      </x:c>
      <x:c r="V36" s="2">
        <x:v>3</x:v>
      </x:c>
      <x:c r="W36" s="2">
        <x:f t="shared" si="1"/>
        <x:v>3</x:v>
      </x:c>
      <x:c r="X36" s="2" t="s">
        <x:v>291</x:v>
      </x:c>
      <x:c r="Y36" s="2" t="s">
        <x:v>70</x:v>
      </x:c>
      <x:c r="Z36" s="2" t="s">
        <x:v>71</x:v>
      </x:c>
      <x:c r="AA36" s="2" t="s">
        <x:v>72</x:v>
      </x:c>
    </x:row>
    <x:row r="37" ht="92.0999984741211" customHeight="1">
      <x:c r="A37" s="2">
        <x:v>24</x:v>
      </x:c>
      <x:c r="B37" s="2" t="s">
        <x:v>292</x:v>
      </x:c>
      <x:c r="C37" s="2">
        <x:v>24</x:v>
      </x:c>
      <x:c r="D37" s="2" t="s">
        <x:v>293</x:v>
      </x:c>
      <x:c r="E37" s="2" t="s">
        <x:v>56</x:v>
      </x:c>
      <x:c r="F37" s="2" t="s">
        <x:v>57</x:v>
      </x:c>
      <x:c r="G37" s="2" t="s">
        <x:v>58</x:v>
      </x:c>
      <x:c r="H37" s="2" t="s">
        <x:v>294</x:v>
      </x:c>
      <x:c r="I37" s="2" t="s">
        <x:v>60</x:v>
      </x:c>
      <x:c r="J37" s="2" t="s">
        <x:v>295</x:v>
      </x:c>
      <x:c r="K37" s="2" t="s">
        <x:v>296</x:v>
      </x:c>
      <x:c r="L37" s="2" t="s">
        <x:v>63</x:v>
      </x:c>
      <x:c r="M37" s="2">
        <x:v>4</x:v>
      </x:c>
      <x:c r="N37" s="2">
        <x:v>5</x:v>
      </x:c>
      <x:c r="O37" s="2">
        <x:f t="shared" si="0"/>
        <x:v>20</x:v>
      </x:c>
      <x:c r="P37" s="2" t="s">
        <x:v>297</x:v>
      </x:c>
      <x:c r="Q37" s="2" t="s">
        <x:v>298</x:v>
      </x:c>
      <x:c r="R37" s="2" t="s">
        <x:v>299</x:v>
      </x:c>
      <x:c r="S37" s="2" t="s">
        <x:v>300</x:v>
      </x:c>
      <x:c r="T37" s="2" t="s">
        <x:v>68</x:v>
      </x:c>
      <x:c r="U37" s="2">
        <x:v>1</x:v>
      </x:c>
      <x:c r="V37" s="2">
        <x:v>5</x:v>
      </x:c>
      <x:c r="W37" s="2">
        <x:f t="shared" si="1"/>
        <x:v>5</x:v>
      </x:c>
      <x:c r="X37" s="2" t="s">
        <x:v>301</x:v>
      </x:c>
      <x:c r="Y37" s="2" t="s">
        <x:v>70</x:v>
      </x:c>
      <x:c r="Z37" s="2" t="s">
        <x:v>71</x:v>
      </x:c>
      <x:c r="AA37" s="2" t="s">
        <x:v>72</x:v>
      </x:c>
    </x:row>
    <x:row r="38" ht="92.0999984741211" customHeight="1">
      <x:c r="A38" s="2">
        <x:v>25</x:v>
      </x:c>
      <x:c r="B38" s="2" t="s">
        <x:v>292</x:v>
      </x:c>
      <x:c r="C38" s="2">
        <x:v>25</x:v>
      </x:c>
      <x:c r="D38" s="2" t="s">
        <x:v>302</x:v>
      </x:c>
      <x:c r="E38" s="2" t="s">
        <x:v>56</x:v>
      </x:c>
      <x:c r="F38" s="2" t="s">
        <x:v>57</x:v>
      </x:c>
      <x:c r="G38" s="2" t="s">
        <x:v>58</x:v>
      </x:c>
      <x:c r="H38" s="2" t="s">
        <x:v>303</x:v>
      </x:c>
      <x:c r="I38" s="2" t="s">
        <x:v>60</x:v>
      </x:c>
      <x:c r="J38" s="2" t="s">
        <x:v>304</x:v>
      </x:c>
      <x:c r="K38" s="2" t="s">
        <x:v>305</x:v>
      </x:c>
      <x:c r="L38" s="2" t="s">
        <x:v>63</x:v>
      </x:c>
      <x:c r="M38" s="2">
        <x:v>4</x:v>
      </x:c>
      <x:c r="N38" s="2">
        <x:v>5</x:v>
      </x:c>
      <x:c r="O38" s="2">
        <x:f t="shared" si="0"/>
        <x:v>20</x:v>
      </x:c>
      <x:c r="P38" s="2" t="s">
        <x:v>306</x:v>
      </x:c>
      <x:c r="Q38" s="2" t="s">
        <x:v>307</x:v>
      </x:c>
      <x:c r="R38" s="2" t="s">
        <x:v>308</x:v>
      </x:c>
      <x:c r="S38" s="2" t="s">
        <x:v>309</x:v>
      </x:c>
      <x:c r="T38" s="2" t="s">
        <x:v>68</x:v>
      </x:c>
      <x:c r="U38" s="2">
        <x:v>1</x:v>
      </x:c>
      <x:c r="V38" s="2">
        <x:v>5</x:v>
      </x:c>
      <x:c r="W38" s="2">
        <x:f t="shared" si="1"/>
        <x:v>5</x:v>
      </x:c>
      <x:c r="X38" s="2" t="s">
        <x:v>310</x:v>
      </x:c>
      <x:c r="Y38" s="2" t="s">
        <x:v>70</x:v>
      </x:c>
      <x:c r="Z38" s="2" t="s">
        <x:v>71</x:v>
      </x:c>
      <x:c r="AA38" s="2" t="s">
        <x:v>72</x:v>
      </x:c>
    </x:row>
    <x:row r="39" ht="92.0999984741211" customHeight="1">
      <x:c r="A39" s="2">
        <x:v>26</x:v>
      </x:c>
      <x:c r="B39" s="2" t="s">
        <x:v>311</x:v>
      </x:c>
      <x:c r="C39" s="2">
        <x:v>26</x:v>
      </x:c>
      <x:c r="D39" s="2" t="s">
        <x:v>312</x:v>
      </x:c>
      <x:c r="E39" s="2" t="s">
        <x:v>56</x:v>
      </x:c>
      <x:c r="F39" s="2" t="s">
        <x:v>57</x:v>
      </x:c>
      <x:c r="G39" s="2" t="s">
        <x:v>58</x:v>
      </x:c>
      <x:c r="H39" s="2" t="s">
        <x:v>313</x:v>
      </x:c>
      <x:c r="I39" s="2" t="s">
        <x:v>60</x:v>
      </x:c>
      <x:c r="J39" s="2" t="s">
        <x:v>314</x:v>
      </x:c>
      <x:c r="K39" s="2" t="s">
        <x:v>315</x:v>
      </x:c>
      <x:c r="L39" s="2" t="s">
        <x:v>63</x:v>
      </x:c>
      <x:c r="M39" s="2">
        <x:v>4</x:v>
      </x:c>
      <x:c r="N39" s="2">
        <x:v>5</x:v>
      </x:c>
      <x:c r="O39" s="2">
        <x:f t="shared" si="0"/>
        <x:v>20</x:v>
      </x:c>
      <x:c r="P39" s="2" t="s">
        <x:v>316</x:v>
      </x:c>
      <x:c r="Q39" s="2" t="s">
        <x:v>68</x:v>
      </x:c>
      <x:c r="R39" s="2" t="s">
        <x:v>317</x:v>
      </x:c>
      <x:c r="S39" s="2" t="s">
        <x:v>318</x:v>
      </x:c>
      <x:c r="T39" s="2" t="s">
        <x:v>215</x:v>
      </x:c>
      <x:c r="U39" s="2">
        <x:v>1</x:v>
      </x:c>
      <x:c r="V39" s="2">
        <x:v>4</x:v>
      </x:c>
      <x:c r="W39" s="2">
        <x:f t="shared" si="1"/>
        <x:v>4</x:v>
      </x:c>
      <x:c r="X39" s="2" t="s">
        <x:v>319</x:v>
      </x:c>
      <x:c r="Y39" s="2" t="s">
        <x:v>70</x:v>
      </x:c>
      <x:c r="Z39" s="2" t="s">
        <x:v>71</x:v>
      </x:c>
      <x:c r="AA39" s="2" t="s">
        <x:v>72</x:v>
      </x:c>
    </x:row>
    <x:row r="40" ht="92.0999984741211" customHeight="1">
      <x:c r="A40" s="2">
        <x:v>27</x:v>
      </x:c>
      <x:c r="B40" s="2" t="s">
        <x:v>320</x:v>
      </x:c>
      <x:c r="C40" s="2">
        <x:v>27</x:v>
      </x:c>
      <x:c r="D40" s="2" t="s">
        <x:v>321</x:v>
      </x:c>
      <x:c r="E40" s="2" t="s">
        <x:v>56</x:v>
      </x:c>
      <x:c r="F40" s="2" t="s">
        <x:v>57</x:v>
      </x:c>
      <x:c r="G40" s="2" t="s">
        <x:v>58</x:v>
      </x:c>
      <x:c r="H40" s="2" t="s">
        <x:v>322</x:v>
      </x:c>
      <x:c r="I40" s="2" t="s">
        <x:v>60</x:v>
      </x:c>
      <x:c r="J40" s="2" t="s">
        <x:v>323</x:v>
      </x:c>
      <x:c r="K40" s="2" t="s">
        <x:v>305</x:v>
      </x:c>
      <x:c r="L40" s="2" t="s">
        <x:v>63</x:v>
      </x:c>
      <x:c r="M40" s="2">
        <x:v>4</x:v>
      </x:c>
      <x:c r="N40" s="2">
        <x:v>5</x:v>
      </x:c>
      <x:c r="O40" s="2">
        <x:f t="shared" si="0"/>
        <x:v>20</x:v>
      </x:c>
      <x:c r="P40" s="2" t="s">
        <x:v>324</x:v>
      </x:c>
      <x:c r="Q40" s="2" t="s">
        <x:v>325</x:v>
      </x:c>
      <x:c r="R40" s="2" t="s">
        <x:v>326</x:v>
      </x:c>
      <x:c r="S40" s="2" t="s">
        <x:v>327</x:v>
      </x:c>
      <x:c r="T40" s="2" t="s">
        <x:v>328</x:v>
      </x:c>
      <x:c r="U40" s="2">
        <x:v>2</x:v>
      </x:c>
      <x:c r="V40" s="2">
        <x:v>4</x:v>
      </x:c>
      <x:c r="W40" s="2">
        <x:f t="shared" si="1"/>
        <x:v>8</x:v>
      </x:c>
      <x:c r="X40" s="2" t="s">
        <x:v>329</x:v>
      </x:c>
      <x:c r="Y40" s="2" t="s">
        <x:v>70</x:v>
      </x:c>
      <x:c r="Z40" s="2" t="s">
        <x:v>71</x:v>
      </x:c>
      <x:c r="AA40" s="2" t="s">
        <x:v>72</x:v>
      </x:c>
    </x:row>
    <x:row r="41" ht="92.0999984741211" customHeight="1">
      <x:c r="A41" s="2">
        <x:v>28</x:v>
      </x:c>
      <x:c r="B41" s="2" t="s">
        <x:v>320</x:v>
      </x:c>
      <x:c r="C41" s="2">
        <x:v>28</x:v>
      </x:c>
      <x:c r="D41" s="2" t="s">
        <x:v>330</x:v>
      </x:c>
      <x:c r="E41" s="2" t="s">
        <x:v>56</x:v>
      </x:c>
      <x:c r="F41" s="2" t="s">
        <x:v>57</x:v>
      </x:c>
      <x:c r="G41" s="2" t="s">
        <x:v>58</x:v>
      </x:c>
      <x:c r="H41" s="2" t="s">
        <x:v>331</x:v>
      </x:c>
      <x:c r="I41" s="2" t="s">
        <x:v>60</x:v>
      </x:c>
      <x:c r="J41" s="2" t="s">
        <x:v>332</x:v>
      </x:c>
      <x:c r="K41" s="2" t="s">
        <x:v>333</x:v>
      </x:c>
      <x:c r="L41" s="2" t="s">
        <x:v>63</x:v>
      </x:c>
      <x:c r="M41" s="2">
        <x:v>4</x:v>
      </x:c>
      <x:c r="N41" s="2">
        <x:v>4</x:v>
      </x:c>
      <x:c r="O41" s="2">
        <x:f t="shared" si="0"/>
        <x:v>16</x:v>
      </x:c>
      <x:c r="P41" s="2" t="s">
        <x:v>334</x:v>
      </x:c>
      <x:c r="Q41" s="2" t="s">
        <x:v>335</x:v>
      </x:c>
      <x:c r="R41" s="2" t="s">
        <x:v>336</x:v>
      </x:c>
      <x:c r="S41" s="2" t="s">
        <x:v>337</x:v>
      </x:c>
      <x:c r="T41" s="2" t="s">
        <x:v>165</x:v>
      </x:c>
      <x:c r="U41" s="2">
        <x:v>2</x:v>
      </x:c>
      <x:c r="V41" s="2">
        <x:v>3</x:v>
      </x:c>
      <x:c r="W41" s="2">
        <x:f t="shared" si="1"/>
        <x:v>6</x:v>
      </x:c>
      <x:c r="X41" s="2" t="s">
        <x:v>338</x:v>
      </x:c>
      <x:c r="Y41" s="2" t="s">
        <x:v>70</x:v>
      </x:c>
      <x:c r="Z41" s="2" t="s">
        <x:v>71</x:v>
      </x:c>
      <x:c r="AA41" s="2" t="s">
        <x:v>72</x:v>
      </x:c>
    </x:row>
    <x:row r="42" ht="92.0999984741211" customHeight="1">
      <x:c r="A42" s="2">
        <x:v>29</x:v>
      </x:c>
      <x:c r="B42" s="2" t="s">
        <x:v>320</x:v>
      </x:c>
      <x:c r="C42" s="2">
        <x:v>29</x:v>
      </x:c>
      <x:c r="D42" s="2" t="s">
        <x:v>339</x:v>
      </x:c>
      <x:c r="E42" s="2" t="s">
        <x:v>56</x:v>
      </x:c>
      <x:c r="F42" s="2" t="s">
        <x:v>57</x:v>
      </x:c>
      <x:c r="G42" s="2" t="s">
        <x:v>58</x:v>
      </x:c>
      <x:c r="H42" s="2" t="s">
        <x:v>340</x:v>
      </x:c>
      <x:c r="I42" s="2" t="s">
        <x:v>60</x:v>
      </x:c>
      <x:c r="J42" s="2" t="s">
        <x:v>341</x:v>
      </x:c>
      <x:c r="K42" s="2" t="s">
        <x:v>342</x:v>
      </x:c>
      <x:c r="L42" s="2" t="s">
        <x:v>63</x:v>
      </x:c>
      <x:c r="M42" s="2">
        <x:v>4</x:v>
      </x:c>
      <x:c r="N42" s="2">
        <x:v>4</x:v>
      </x:c>
      <x:c r="O42" s="2">
        <x:f t="shared" si="0"/>
        <x:v>16</x:v>
      </x:c>
      <x:c r="P42" s="2" t="s">
        <x:v>343</x:v>
      </x:c>
      <x:c r="Q42" s="2" t="s">
        <x:v>68</x:v>
      </x:c>
      <x:c r="R42" s="2" t="s">
        <x:v>344</x:v>
      </x:c>
      <x:c r="S42" s="2" t="s">
        <x:v>345</x:v>
      </x:c>
      <x:c r="T42" s="2" t="s">
        <x:v>346</x:v>
      </x:c>
      <x:c r="U42" s="2">
        <x:v>2</x:v>
      </x:c>
      <x:c r="V42" s="2">
        <x:v>3</x:v>
      </x:c>
      <x:c r="W42" s="2">
        <x:f t="shared" si="1"/>
        <x:v>6</x:v>
      </x:c>
      <x:c r="X42" s="2" t="s">
        <x:v>347</x:v>
      </x:c>
      <x:c r="Y42" s="2" t="s">
        <x:v>70</x:v>
      </x:c>
      <x:c r="Z42" s="2" t="s">
        <x:v>71</x:v>
      </x:c>
      <x:c r="AA42" s="2" t="s">
        <x:v>72</x:v>
      </x:c>
    </x:row>
    <x:row r="43" ht="92.0999984741211" customHeight="1">
      <x:c r="A43" s="2">
        <x:v>30</x:v>
      </x:c>
      <x:c r="B43" s="2" t="s">
        <x:v>348</x:v>
      </x:c>
      <x:c r="C43" s="2">
        <x:v>30</x:v>
      </x:c>
      <x:c r="D43" s="2" t="s">
        <x:v>349</x:v>
      </x:c>
      <x:c r="E43" s="2" t="s">
        <x:v>56</x:v>
      </x:c>
      <x:c r="F43" s="2" t="s">
        <x:v>57</x:v>
      </x:c>
      <x:c r="G43" s="2" t="s">
        <x:v>85</x:v>
      </x:c>
      <x:c r="H43" s="2" t="s">
        <x:v>350</x:v>
      </x:c>
      <x:c r="I43" s="2" t="s">
        <x:v>60</x:v>
      </x:c>
      <x:c r="J43" s="2" t="s">
        <x:v>351</x:v>
      </x:c>
      <x:c r="K43" s="2" t="s">
        <x:v>352</x:v>
      </x:c>
      <x:c r="L43" s="2" t="s">
        <x:v>63</x:v>
      </x:c>
      <x:c r="M43" s="2">
        <x:v>4</x:v>
      </x:c>
      <x:c r="N43" s="2">
        <x:v>4</x:v>
      </x:c>
      <x:c r="O43" s="2">
        <x:f t="shared" si="0"/>
        <x:v>16</x:v>
      </x:c>
      <x:c r="P43" s="2" t="s">
        <x:v>353</x:v>
      </x:c>
      <x:c r="Q43" s="2" t="s">
        <x:v>354</x:v>
      </x:c>
      <x:c r="R43" s="2" t="s">
        <x:v>355</x:v>
      </x:c>
      <x:c r="S43" s="2" t="s">
        <x:v>356</x:v>
      </x:c>
      <x:c r="T43" s="2" t="s">
        <x:v>357</x:v>
      </x:c>
      <x:c r="U43" s="2">
        <x:v>2</x:v>
      </x:c>
      <x:c r="V43" s="2">
        <x:v>3</x:v>
      </x:c>
      <x:c r="W43" s="2">
        <x:f t="shared" si="1"/>
        <x:v>6</x:v>
      </x:c>
      <x:c r="X43" s="2" t="s">
        <x:v>358</x:v>
      </x:c>
      <x:c r="Y43" s="2" t="s">
        <x:v>70</x:v>
      </x:c>
      <x:c r="Z43" s="2" t="s">
        <x:v>71</x:v>
      </x:c>
      <x:c r="AA43" s="2" t="s">
        <x:v>72</x:v>
      </x:c>
    </x:row>
    <x:row r="44" ht="92.0999984741211" customHeight="1">
      <x:c r="A44" s="2">
        <x:v>31</x:v>
      </x:c>
      <x:c r="B44" s="2" t="s">
        <x:v>348</x:v>
      </x:c>
      <x:c r="C44" s="2">
        <x:v>31</x:v>
      </x:c>
      <x:c r="D44" s="2" t="s">
        <x:v>359</x:v>
      </x:c>
      <x:c r="E44" s="2" t="s">
        <x:v>56</x:v>
      </x:c>
      <x:c r="F44" s="2" t="s">
        <x:v>57</x:v>
      </x:c>
      <x:c r="G44" s="2" t="s">
        <x:v>85</x:v>
      </x:c>
      <x:c r="H44" s="2" t="s">
        <x:v>360</x:v>
      </x:c>
      <x:c r="I44" s="2" t="s">
        <x:v>60</x:v>
      </x:c>
      <x:c r="J44" s="2" t="s">
        <x:v>361</x:v>
      </x:c>
      <x:c r="K44" s="2" t="s">
        <x:v>362</x:v>
      </x:c>
      <x:c r="L44" s="2" t="s">
        <x:v>63</x:v>
      </x:c>
      <x:c r="M44" s="2">
        <x:v>4</x:v>
      </x:c>
      <x:c r="N44" s="2">
        <x:v>5</x:v>
      </x:c>
      <x:c r="O44" s="2">
        <x:f t="shared" si="0"/>
        <x:v>20</x:v>
      </x:c>
      <x:c r="P44" s="2" t="s">
        <x:v>363</x:v>
      </x:c>
      <x:c r="Q44" s="2" t="s">
        <x:v>364</x:v>
      </x:c>
      <x:c r="R44" s="2" t="s">
        <x:v>365</x:v>
      </x:c>
      <x:c r="S44" s="2" t="s">
        <x:v>366</x:v>
      </x:c>
      <x:c r="T44" s="2" t="s">
        <x:v>367</x:v>
      </x:c>
      <x:c r="U44" s="2">
        <x:v>1</x:v>
      </x:c>
      <x:c r="V44" s="2">
        <x:v>5</x:v>
      </x:c>
      <x:c r="W44" s="2">
        <x:f t="shared" si="1"/>
        <x:v>5</x:v>
      </x:c>
      <x:c r="X44" s="2" t="s">
        <x:v>368</x:v>
      </x:c>
      <x:c r="Y44" s="2" t="s">
        <x:v>70</x:v>
      </x:c>
      <x:c r="Z44" s="2" t="s">
        <x:v>71</x:v>
      </x:c>
      <x:c r="AA44" s="2" t="s">
        <x:v>72</x:v>
      </x:c>
    </x:row>
    <x:row r="45" ht="92.0999984741211" customHeight="1">
      <x:c r="A45" s="2">
        <x:v>32</x:v>
      </x:c>
      <x:c r="B45" s="2" t="s">
        <x:v>348</x:v>
      </x:c>
      <x:c r="C45" s="2">
        <x:v>32</x:v>
      </x:c>
      <x:c r="D45" s="2" t="s">
        <x:v>369</x:v>
      </x:c>
      <x:c r="E45" s="2" t="s">
        <x:v>56</x:v>
      </x:c>
      <x:c r="F45" s="2" t="s">
        <x:v>57</x:v>
      </x:c>
      <x:c r="G45" s="2" t="s">
        <x:v>58</x:v>
      </x:c>
      <x:c r="H45" s="2" t="s">
        <x:v>370</x:v>
      </x:c>
      <x:c r="I45" s="2" t="s">
        <x:v>60</x:v>
      </x:c>
      <x:c r="J45" s="2" t="s">
        <x:v>371</x:v>
      </x:c>
      <x:c r="K45" s="2" t="s">
        <x:v>372</x:v>
      </x:c>
      <x:c r="L45" s="2" t="s">
        <x:v>63</x:v>
      </x:c>
      <x:c r="M45" s="2">
        <x:v>4</x:v>
      </x:c>
      <x:c r="N45" s="2">
        <x:v>4</x:v>
      </x:c>
      <x:c r="O45" s="2">
        <x:f t="shared" si="0"/>
        <x:v>16</x:v>
      </x:c>
      <x:c r="P45" s="2" t="s">
        <x:v>373</x:v>
      </x:c>
      <x:c r="Q45" s="2" t="s">
        <x:v>374</x:v>
      </x:c>
      <x:c r="R45" s="2" t="s">
        <x:v>375</x:v>
      </x:c>
      <x:c r="S45" s="2" t="s">
        <x:v>376</x:v>
      </x:c>
      <x:c r="T45" s="2" t="s">
        <x:v>68</x:v>
      </x:c>
      <x:c r="U45" s="2">
        <x:v>2</x:v>
      </x:c>
      <x:c r="V45" s="2">
        <x:v>3</x:v>
      </x:c>
      <x:c r="W45" s="2">
        <x:f t="shared" si="1"/>
        <x:v>6</x:v>
      </x:c>
      <x:c r="X45" s="2" t="s">
        <x:v>377</x:v>
      </x:c>
      <x:c r="Y45" s="2" t="s">
        <x:v>70</x:v>
      </x:c>
      <x:c r="Z45" s="2" t="s">
        <x:v>71</x:v>
      </x:c>
      <x:c r="AA45" s="2" t="s">
        <x:v>72</x:v>
      </x:c>
    </x:row>
    <x:row r="46" ht="92.0999984741211" customHeight="1">
      <x:c r="A46" s="2">
        <x:v>33</x:v>
      </x:c>
      <x:c r="B46" s="2" t="s">
        <x:v>348</x:v>
      </x:c>
      <x:c r="C46" s="2">
        <x:v>33</x:v>
      </x:c>
      <x:c r="D46" s="2" t="s">
        <x:v>378</x:v>
      </x:c>
      <x:c r="E46" s="2" t="s">
        <x:v>56</x:v>
      </x:c>
      <x:c r="F46" s="2" t="s">
        <x:v>57</x:v>
      </x:c>
      <x:c r="G46" s="2" t="s">
        <x:v>58</x:v>
      </x:c>
      <x:c r="H46" s="2" t="s">
        <x:v>379</x:v>
      </x:c>
      <x:c r="I46" s="2" t="s">
        <x:v>60</x:v>
      </x:c>
      <x:c r="J46" s="2" t="s">
        <x:v>380</x:v>
      </x:c>
      <x:c r="K46" s="2" t="s">
        <x:v>381</x:v>
      </x:c>
      <x:c r="L46" s="2" t="s">
        <x:v>63</x:v>
      </x:c>
      <x:c r="M46" s="2">
        <x:v>3</x:v>
      </x:c>
      <x:c r="N46" s="2">
        <x:v>3</x:v>
      </x:c>
      <x:c r="O46" s="2">
        <x:f t="shared" si="0"/>
        <x:v>9</x:v>
      </x:c>
      <x:c r="P46" s="2" t="s">
        <x:v>382</x:v>
      </x:c>
      <x:c r="Q46" s="2" t="s">
        <x:v>68</x:v>
      </x:c>
      <x:c r="R46" s="2" t="s">
        <x:v>383</x:v>
      </x:c>
      <x:c r="S46" s="2" t="s">
        <x:v>384</x:v>
      </x:c>
      <x:c r="T46" s="2" t="s">
        <x:v>68</x:v>
      </x:c>
      <x:c r="U46" s="2">
        <x:v>1</x:v>
      </x:c>
      <x:c r="V46" s="2">
        <x:v>2</x:v>
      </x:c>
      <x:c r="W46" s="2">
        <x:f t="shared" si="1"/>
        <x:v>2</x:v>
      </x:c>
      <x:c r="X46" s="2" t="s">
        <x:v>385</x:v>
      </x:c>
      <x:c r="Y46" s="2" t="s">
        <x:v>70</x:v>
      </x:c>
      <x:c r="Z46" s="2" t="s">
        <x:v>71</x:v>
      </x:c>
      <x:c r="AA46" s="2" t="s">
        <x:v>72</x:v>
      </x:c>
    </x:row>
    <x:row r="47" ht="92.0999984741211" customHeight="1">
      <x:c r="A47" s="2">
        <x:v>34</x:v>
      </x:c>
      <x:c r="B47" s="2" t="s">
        <x:v>348</x:v>
      </x:c>
      <x:c r="C47" s="2">
        <x:v>34</x:v>
      </x:c>
      <x:c r="D47" s="2" t="s">
        <x:v>386</x:v>
      </x:c>
      <x:c r="E47" s="2" t="s">
        <x:v>56</x:v>
      </x:c>
      <x:c r="F47" s="2" t="s">
        <x:v>57</x:v>
      </x:c>
      <x:c r="G47" s="2" t="s">
        <x:v>58</x:v>
      </x:c>
      <x:c r="H47" s="2" t="s">
        <x:v>387</x:v>
      </x:c>
      <x:c r="I47" s="2" t="s">
        <x:v>60</x:v>
      </x:c>
      <x:c r="J47" s="2" t="s">
        <x:v>388</x:v>
      </x:c>
      <x:c r="K47" s="2" t="s">
        <x:v>389</x:v>
      </x:c>
      <x:c r="L47" s="2" t="s">
        <x:v>63</x:v>
      </x:c>
      <x:c r="M47" s="2">
        <x:v>4</x:v>
      </x:c>
      <x:c r="N47" s="2">
        <x:v>5</x:v>
      </x:c>
      <x:c r="O47" s="2">
        <x:f t="shared" si="0"/>
        <x:v>20</x:v>
      </x:c>
      <x:c r="P47" s="2" t="s">
        <x:v>390</x:v>
      </x:c>
      <x:c r="Q47" s="2" t="s">
        <x:v>391</x:v>
      </x:c>
      <x:c r="R47" s="2" t="s">
        <x:v>392</x:v>
      </x:c>
      <x:c r="S47" s="2" t="s">
        <x:v>393</x:v>
      </x:c>
      <x:c r="T47" s="2" t="s">
        <x:v>68</x:v>
      </x:c>
      <x:c r="U47" s="2">
        <x:v>1</x:v>
      </x:c>
      <x:c r="V47" s="2">
        <x:v>5</x:v>
      </x:c>
      <x:c r="W47" s="2">
        <x:f t="shared" si="1"/>
        <x:v>5</x:v>
      </x:c>
      <x:c r="X47" s="2" t="s">
        <x:v>394</x:v>
      </x:c>
      <x:c r="Y47" s="2" t="s">
        <x:v>70</x:v>
      </x:c>
      <x:c r="Z47" s="2" t="s">
        <x:v>71</x:v>
      </x:c>
      <x:c r="AA47" s="2" t="s">
        <x:v>72</x:v>
      </x:c>
    </x:row>
    <x:row r="48" ht="92.0999984741211" customHeight="1">
      <x:c r="A48" s="2">
        <x:v>35</x:v>
      </x:c>
      <x:c r="B48" s="2" t="s">
        <x:v>395</x:v>
      </x:c>
      <x:c r="C48" s="2">
        <x:v>35</x:v>
      </x:c>
      <x:c r="D48" s="2" t="s">
        <x:v>396</x:v>
      </x:c>
      <x:c r="E48" s="2" t="s">
        <x:v>56</x:v>
      </x:c>
      <x:c r="F48" s="2" t="s">
        <x:v>57</x:v>
      </x:c>
      <x:c r="G48" s="2" t="s">
        <x:v>58</x:v>
      </x:c>
      <x:c r="H48" s="2" t="s">
        <x:v>397</x:v>
      </x:c>
      <x:c r="I48" s="2" t="s">
        <x:v>60</x:v>
      </x:c>
      <x:c r="J48" s="2" t="s">
        <x:v>398</x:v>
      </x:c>
      <x:c r="K48" s="2" t="s">
        <x:v>399</x:v>
      </x:c>
      <x:c r="L48" s="2" t="s">
        <x:v>63</x:v>
      </x:c>
      <x:c r="M48" s="2">
        <x:v>3</x:v>
      </x:c>
      <x:c r="N48" s="2">
        <x:v>3</x:v>
      </x:c>
      <x:c r="O48" s="2">
        <x:f t="shared" si="0"/>
        <x:v>9</x:v>
      </x:c>
      <x:c r="P48" s="2" t="s">
        <x:v>400</x:v>
      </x:c>
      <x:c r="Q48" s="2" t="s">
        <x:v>401</x:v>
      </x:c>
      <x:c r="R48" s="2" t="s">
        <x:v>402</x:v>
      </x:c>
      <x:c r="S48" s="2" t="s">
        <x:v>403</x:v>
      </x:c>
      <x:c r="T48" s="2" t="s">
        <x:v>165</x:v>
      </x:c>
      <x:c r="U48" s="2">
        <x:v>1</x:v>
      </x:c>
      <x:c r="V48" s="2">
        <x:v>2</x:v>
      </x:c>
      <x:c r="W48" s="2">
        <x:f t="shared" si="1"/>
        <x:v>2</x:v>
      </x:c>
      <x:c r="X48" s="2" t="s">
        <x:v>404</x:v>
      </x:c>
      <x:c r="Y48" s="2" t="s">
        <x:v>70</x:v>
      </x:c>
      <x:c r="Z48" s="2" t="s">
        <x:v>71</x:v>
      </x:c>
      <x:c r="AA48" s="2" t="s">
        <x:v>72</x:v>
      </x:c>
    </x:row>
    <x:row r="49" ht="92.0999984741211" customHeight="1">
      <x:c r="A49" s="2">
        <x:v>36</x:v>
      </x:c>
      <x:c r="B49" s="2" t="s">
        <x:v>395</x:v>
      </x:c>
      <x:c r="C49" s="2">
        <x:v>36</x:v>
      </x:c>
      <x:c r="D49" s="2" t="s">
        <x:v>405</x:v>
      </x:c>
      <x:c r="E49" s="2" t="s">
        <x:v>56</x:v>
      </x:c>
      <x:c r="F49" s="2" t="s">
        <x:v>57</x:v>
      </x:c>
      <x:c r="G49" s="2" t="s">
        <x:v>58</x:v>
      </x:c>
      <x:c r="H49" s="2" t="s">
        <x:v>406</x:v>
      </x:c>
      <x:c r="I49" s="2" t="s">
        <x:v>60</x:v>
      </x:c>
      <x:c r="J49" s="2" t="s">
        <x:v>407</x:v>
      </x:c>
      <x:c r="K49" s="2" t="s">
        <x:v>408</x:v>
      </x:c>
      <x:c r="L49" s="2" t="s">
        <x:v>63</x:v>
      </x:c>
      <x:c r="M49" s="2">
        <x:v>4</x:v>
      </x:c>
      <x:c r="N49" s="2">
        <x:v>3</x:v>
      </x:c>
      <x:c r="O49" s="2">
        <x:f t="shared" si="0"/>
        <x:v>12</x:v>
      </x:c>
      <x:c r="P49" s="2" t="s">
        <x:v>409</x:v>
      </x:c>
      <x:c r="Q49" s="2" t="s">
        <x:v>410</x:v>
      </x:c>
      <x:c r="R49" s="2" t="s">
        <x:v>411</x:v>
      </x:c>
      <x:c r="S49" s="2" t="s">
        <x:v>412</x:v>
      </x:c>
      <x:c r="T49" s="2" t="s">
        <x:v>165</x:v>
      </x:c>
      <x:c r="U49" s="2">
        <x:v>1</x:v>
      </x:c>
      <x:c r="V49" s="2">
        <x:v>2</x:v>
      </x:c>
      <x:c r="W49" s="2">
        <x:f t="shared" si="1"/>
        <x:v>2</x:v>
      </x:c>
      <x:c r="X49" s="2" t="s">
        <x:v>413</x:v>
      </x:c>
      <x:c r="Y49" s="2" t="s">
        <x:v>70</x:v>
      </x:c>
      <x:c r="Z49" s="2" t="s">
        <x:v>71</x:v>
      </x:c>
      <x:c r="AA49" s="2" t="s">
        <x:v>72</x:v>
      </x:c>
    </x:row>
    <x:row r="50" ht="92.0999984741211" customHeight="1">
      <x:c r="A50" s="2">
        <x:v>37</x:v>
      </x:c>
      <x:c r="B50" s="2" t="s">
        <x:v>414</x:v>
      </x:c>
      <x:c r="C50" s="2">
        <x:v>37</x:v>
      </x:c>
      <x:c r="D50" s="2" t="s">
        <x:v>415</x:v>
      </x:c>
      <x:c r="E50" s="2" t="s">
        <x:v>56</x:v>
      </x:c>
      <x:c r="F50" s="2" t="s">
        <x:v>57</x:v>
      </x:c>
      <x:c r="G50" s="2" t="s">
        <x:v>58</x:v>
      </x:c>
      <x:c r="H50" s="2" t="s">
        <x:v>416</x:v>
      </x:c>
      <x:c r="I50" s="2" t="s">
        <x:v>60</x:v>
      </x:c>
      <x:c r="J50" s="2" t="s">
        <x:v>417</x:v>
      </x:c>
      <x:c r="K50" s="2" t="s">
        <x:v>418</x:v>
      </x:c>
      <x:c r="L50" s="2" t="s">
        <x:v>63</x:v>
      </x:c>
      <x:c r="M50" s="2">
        <x:v>4</x:v>
      </x:c>
      <x:c r="N50" s="2">
        <x:v>5</x:v>
      </x:c>
      <x:c r="O50" s="2">
        <x:f t="shared" si="0"/>
        <x:v>20</x:v>
      </x:c>
      <x:c r="P50" s="2" t="s">
        <x:v>419</x:v>
      </x:c>
      <x:c r="Q50" s="2" t="s">
        <x:v>68</x:v>
      </x:c>
      <x:c r="R50" s="2" t="s">
        <x:v>420</x:v>
      </x:c>
      <x:c r="S50" s="2" t="s">
        <x:v>421</x:v>
      </x:c>
      <x:c r="T50" s="2" t="s">
        <x:v>422</x:v>
      </x:c>
      <x:c r="U50" s="2">
        <x:v>1</x:v>
      </x:c>
      <x:c r="V50" s="2">
        <x:v>4</x:v>
      </x:c>
      <x:c r="W50" s="2">
        <x:f t="shared" si="1"/>
        <x:v>4</x:v>
      </x:c>
      <x:c r="X50" s="2" t="s">
        <x:v>423</x:v>
      </x:c>
      <x:c r="Y50" s="2" t="s">
        <x:v>70</x:v>
      </x:c>
      <x:c r="Z50" s="2" t="s">
        <x:v>71</x:v>
      </x:c>
      <x:c r="AA50" s="2" t="s">
        <x:v>72</x:v>
      </x:c>
    </x:row>
    <x:row r="51" ht="92.0999984741211" customHeight="1">
      <x:c r="A51" s="2">
        <x:v>38</x:v>
      </x:c>
      <x:c r="B51" s="2" t="s">
        <x:v>414</x:v>
      </x:c>
      <x:c r="C51" s="2">
        <x:v>38</x:v>
      </x:c>
      <x:c r="D51" s="2" t="s">
        <x:v>424</x:v>
      </x:c>
      <x:c r="E51" s="2" t="s">
        <x:v>56</x:v>
      </x:c>
      <x:c r="F51" s="2" t="s">
        <x:v>57</x:v>
      </x:c>
      <x:c r="G51" s="2" t="s">
        <x:v>85</x:v>
      </x:c>
      <x:c r="H51" s="2" t="s">
        <x:v>425</x:v>
      </x:c>
      <x:c r="I51" s="2" t="s">
        <x:v>60</x:v>
      </x:c>
      <x:c r="J51" s="2" t="s">
        <x:v>426</x:v>
      </x:c>
      <x:c r="K51" s="2" t="s">
        <x:v>427</x:v>
      </x:c>
      <x:c r="L51" s="2" t="s">
        <x:v>63</x:v>
      </x:c>
      <x:c r="M51" s="2">
        <x:v>4</x:v>
      </x:c>
      <x:c r="N51" s="2">
        <x:v>4</x:v>
      </x:c>
      <x:c r="O51" s="2">
        <x:f t="shared" si="0"/>
        <x:v>16</x:v>
      </x:c>
      <x:c r="P51" s="2" t="s">
        <x:v>428</x:v>
      </x:c>
      <x:c r="Q51" s="2" t="s">
        <x:v>429</x:v>
      </x:c>
      <x:c r="R51" s="2" t="s">
        <x:v>430</x:v>
      </x:c>
      <x:c r="S51" s="2" t="s">
        <x:v>431</x:v>
      </x:c>
      <x:c r="T51" s="2" t="s">
        <x:v>432</x:v>
      </x:c>
      <x:c r="U51" s="2">
        <x:v>1</x:v>
      </x:c>
      <x:c r="V51" s="2">
        <x:v>3</x:v>
      </x:c>
      <x:c r="W51" s="2">
        <x:f t="shared" si="1"/>
        <x:v>3</x:v>
      </x:c>
      <x:c r="X51" s="2" t="s">
        <x:v>433</x:v>
      </x:c>
      <x:c r="Y51" s="2" t="s">
        <x:v>70</x:v>
      </x:c>
      <x:c r="Z51" s="2" t="s">
        <x:v>71</x:v>
      </x:c>
      <x:c r="AA51" s="2" t="s">
        <x:v>72</x:v>
      </x:c>
    </x:row>
    <x:row r="52" ht="92.0999984741211" customHeight="1">
      <x:c r="A52" s="2">
        <x:v>39</x:v>
      </x:c>
      <x:c r="B52" s="2" t="s">
        <x:v>434</x:v>
      </x:c>
      <x:c r="C52" s="2">
        <x:v>39</x:v>
      </x:c>
      <x:c r="D52" s="2" t="s">
        <x:v>435</x:v>
      </x:c>
      <x:c r="E52" s="2" t="s">
        <x:v>56</x:v>
      </x:c>
      <x:c r="F52" s="2" t="s">
        <x:v>57</x:v>
      </x:c>
      <x:c r="G52" s="2" t="s">
        <x:v>58</x:v>
      </x:c>
      <x:c r="H52" s="2" t="s">
        <x:v>436</x:v>
      </x:c>
      <x:c r="I52" s="2" t="s">
        <x:v>60</x:v>
      </x:c>
      <x:c r="J52" s="2" t="s">
        <x:v>437</x:v>
      </x:c>
      <x:c r="K52" s="2" t="s">
        <x:v>438</x:v>
      </x:c>
      <x:c r="L52" s="2" t="s">
        <x:v>63</x:v>
      </x:c>
      <x:c r="M52" s="2">
        <x:v>4</x:v>
      </x:c>
      <x:c r="N52" s="2">
        <x:v>5</x:v>
      </x:c>
      <x:c r="O52" s="2">
        <x:f t="shared" si="0"/>
        <x:v>20</x:v>
      </x:c>
      <x:c r="P52" s="2" t="s">
        <x:v>439</x:v>
      </x:c>
      <x:c r="Q52" s="2" t="s">
        <x:v>440</x:v>
      </x:c>
      <x:c r="R52" s="2" t="s">
        <x:v>441</x:v>
      </x:c>
      <x:c r="S52" s="2" t="s">
        <x:v>442</x:v>
      </x:c>
      <x:c r="T52" s="2" t="s">
        <x:v>443</x:v>
      </x:c>
      <x:c r="U52" s="2">
        <x:v>1</x:v>
      </x:c>
      <x:c r="V52" s="2">
        <x:v>5</x:v>
      </x:c>
      <x:c r="W52" s="2">
        <x:f t="shared" si="1"/>
        <x:v>5</x:v>
      </x:c>
      <x:c r="X52" s="2" t="s">
        <x:v>444</x:v>
      </x:c>
      <x:c r="Y52" s="2" t="s">
        <x:v>70</x:v>
      </x:c>
      <x:c r="Z52" s="2" t="s">
        <x:v>71</x:v>
      </x:c>
      <x:c r="AA52" s="2" t="s">
        <x:v>72</x:v>
      </x:c>
    </x:row>
    <x:row r="53" ht="92.0999984741211" customHeight="1">
      <x:c r="A53" s="2">
        <x:v>40</x:v>
      </x:c>
      <x:c r="B53" s="2" t="s">
        <x:v>445</x:v>
      </x:c>
      <x:c r="C53" s="2">
        <x:v>40</x:v>
      </x:c>
      <x:c r="D53" s="2" t="s">
        <x:v>446</x:v>
      </x:c>
      <x:c r="E53" s="2" t="s">
        <x:v>56</x:v>
      </x:c>
      <x:c r="F53" s="2" t="s">
        <x:v>447</x:v>
      </x:c>
      <x:c r="G53" s="2" t="s">
        <x:v>448</x:v>
      </x:c>
      <x:c r="H53" s="2" t="s">
        <x:v>449</x:v>
      </x:c>
      <x:c r="I53" s="2" t="s">
        <x:v>60</x:v>
      </x:c>
      <x:c r="J53" s="2" t="s">
        <x:v>450</x:v>
      </x:c>
      <x:c r="K53" s="2" t="s">
        <x:v>451</x:v>
      </x:c>
      <x:c r="L53" s="2" t="s">
        <x:v>452</x:v>
      </x:c>
      <x:c r="M53" s="2">
        <x:v>3</x:v>
      </x:c>
      <x:c r="N53" s="2">
        <x:v>3</x:v>
      </x:c>
      <x:c r="O53" s="2">
        <x:f t="shared" si="0"/>
        <x:v>9</x:v>
      </x:c>
      <x:c r="P53" s="2" t="s">
        <x:v>453</x:v>
      </x:c>
      <x:c r="Q53" s="2" t="s">
        <x:v>454</x:v>
      </x:c>
      <x:c r="R53" s="2" t="s">
        <x:v>455</x:v>
      </x:c>
      <x:c r="S53" s="2" t="s">
        <x:v>456</x:v>
      </x:c>
      <x:c r="T53" s="2" t="s">
        <x:v>457</x:v>
      </x:c>
      <x:c r="U53" s="2">
        <x:v>1</x:v>
      </x:c>
      <x:c r="V53" s="2">
        <x:v>2</x:v>
      </x:c>
      <x:c r="W53" s="2">
        <x:f t="shared" si="1"/>
        <x:v>2</x:v>
      </x:c>
      <x:c r="X53" s="2" t="s">
        <x:v>458</x:v>
      </x:c>
      <x:c r="Y53" s="2" t="s">
        <x:v>70</x:v>
      </x:c>
      <x:c r="Z53" s="2" t="s">
        <x:v>71</x:v>
      </x:c>
      <x:c r="AA53" s="2" t="s">
        <x:v>72</x:v>
      </x:c>
    </x:row>
    <x:row r="54" ht="92.0999984741211" customHeight="1">
      <x:c r="A54" s="2">
        <x:v>41</x:v>
      </x:c>
      <x:c r="B54" s="2" t="s">
        <x:v>459</x:v>
      </x:c>
      <x:c r="C54" s="2">
        <x:v>41</x:v>
      </x:c>
      <x:c r="D54" s="2" t="s">
        <x:v>460</x:v>
      </x:c>
      <x:c r="E54" s="2" t="s">
        <x:v>56</x:v>
      </x:c>
      <x:c r="F54" s="2" t="s">
        <x:v>57</x:v>
      </x:c>
      <x:c r="G54" s="2" t="s">
        <x:v>58</x:v>
      </x:c>
      <x:c r="H54" s="2" t="s">
        <x:v>461</x:v>
      </x:c>
      <x:c r="I54" s="2" t="s">
        <x:v>60</x:v>
      </x:c>
      <x:c r="J54" s="2" t="s">
        <x:v>462</x:v>
      </x:c>
      <x:c r="K54" s="2" t="s">
        <x:v>463</x:v>
      </x:c>
      <x:c r="L54" s="2" t="s">
        <x:v>63</x:v>
      </x:c>
      <x:c r="M54" s="2">
        <x:v>4</x:v>
      </x:c>
      <x:c r="N54" s="2">
        <x:v>2</x:v>
      </x:c>
      <x:c r="O54" s="2">
        <x:f t="shared" si="0"/>
        <x:v>8</x:v>
      </x:c>
      <x:c r="P54" s="2" t="s">
        <x:v>464</x:v>
      </x:c>
      <x:c r="Q54" s="2" t="s">
        <x:v>465</x:v>
      </x:c>
      <x:c r="R54" s="2" t="s">
        <x:v>466</x:v>
      </x:c>
      <x:c r="S54" s="2" t="s">
        <x:v>467</x:v>
      </x:c>
      <x:c r="T54" s="2" t="s">
        <x:v>468</x:v>
      </x:c>
      <x:c r="U54" s="2">
        <x:v>1</x:v>
      </x:c>
      <x:c r="V54" s="2">
        <x:v>2</x:v>
      </x:c>
      <x:c r="W54" s="2">
        <x:f t="shared" si="1"/>
        <x:v>2</x:v>
      </x:c>
      <x:c r="X54" s="2" t="s">
        <x:v>469</x:v>
      </x:c>
      <x:c r="Y54" s="2" t="s">
        <x:v>70</x:v>
      </x:c>
      <x:c r="Z54" s="2" t="s">
        <x:v>71</x:v>
      </x:c>
      <x:c r="AA54" s="2" t="s">
        <x:v>72</x:v>
      </x:c>
    </x:row>
  </x:sheetData>
  <x:mergeCells>
    <x:mergeCell ref="A1:AA1"/>
    <x:mergeCell ref="A2:AA2"/>
    <x:mergeCell ref="A10:AA10"/>
    <x:mergeCell ref="A11:AA11"/>
  </x:mergeCells>
  <x:conditionalFormatting sqref="O14:O5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conditionalFormatting sqref="W14:W54">
    <x:cfRule type="colorScale" priority="2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drawing xmlns:r="http://schemas.openxmlformats.org/officeDocument/2006/relationships" r:id="Re4862815da494eab"/>
</x:worksheet>
</file>

<file path=xl/worksheets/sheet2.xml><?xml version="1.0" encoding="utf-8"?>
<x:worksheet xmlns:x="http://schemas.openxmlformats.org/spreadsheetml/2006/main">
  <x:sheetFormatPr baseColWidth="10" defaultColWidth="9" defaultRowHeight="14.25"/>
  <x:cols>
    <x:col min="1" max="1" width="22" customWidth="1"/>
    <x:col min="2" max="2" width="83" customWidth="1"/>
    <x:col min="3" max="3" width="22" customWidth="1"/>
    <x:col min="4" max="4" width="35" customWidth="1"/>
    <x:col min="5" max="5" width="30" customWidth="1"/>
  </x:cols>
  <x:sheetData>
    <x:row r="1" ht="32.099998474121094" customHeight="1">
      <x:c r="A1" s="4" t="s">
        <x:v>470</x:v>
      </x:c>
      <x:c r="B1" s="4" t="s">
        <x:v>471</x:v>
      </x:c>
      <x:c r="C1" s="4" t="s">
        <x:v>472</x:v>
      </x:c>
      <x:c r="D1" s="4" t="s">
        <x:v>471</x:v>
      </x:c>
      <x:c r="E1" s="4" t="s">
        <x:v>473</x:v>
      </x:c>
    </x:row>
    <x:row r="2">
      <x:c r="A2" s="2">
        <x:v>1</x:v>
      </x:c>
      <x:c r="B2" s="2" t="s">
        <x:v>474</x:v>
      </x:c>
      <x:c r="C2" s="2">
        <x:v>1</x:v>
      </x:c>
      <x:c r="D2" s="2" t="s">
        <x:v>475</x:v>
      </x:c>
      <x:c r="E2" s="2" t="s">
        <x:v>476</x:v>
      </x:c>
    </x:row>
    <x:row r="3">
      <x:c r="A3" s="2">
        <x:v>2</x:v>
      </x:c>
      <x:c r="B3" s="2" t="s">
        <x:v>477</x:v>
      </x:c>
      <x:c r="C3" s="2">
        <x:v>2</x:v>
      </x:c>
      <x:c r="D3" s="2" t="s">
        <x:v>478</x:v>
      </x:c>
      <x:c r="E3" s="2" t="s">
        <x:v>479</x:v>
      </x:c>
    </x:row>
    <x:row r="4">
      <x:c r="A4" s="2">
        <x:v>3</x:v>
      </x:c>
      <x:c r="B4" s="2" t="s">
        <x:v>480</x:v>
      </x:c>
      <x:c r="C4" s="2">
        <x:v>3</x:v>
      </x:c>
      <x:c r="D4" s="2" t="s">
        <x:v>481</x:v>
      </x:c>
      <x:c r="E4" s="2" t="s">
        <x:v>482</x:v>
      </x:c>
    </x:row>
    <x:row r="5">
      <x:c r="A5" s="2">
        <x:v>4</x:v>
      </x:c>
      <x:c r="B5" s="2" t="s">
        <x:v>483</x:v>
      </x:c>
      <x:c r="C5" s="2">
        <x:v>4</x:v>
      </x:c>
      <x:c r="D5" s="2" t="s">
        <x:v>484</x:v>
      </x:c>
      <x:c r="E5" s="2" t="s">
        <x:v>485</x:v>
      </x:c>
    </x:row>
    <x:row r="6">
      <x:c r="A6" s="2">
        <x:v>5</x:v>
      </x:c>
      <x:c r="B6" s="2" t="s">
        <x:v>486</x:v>
      </x:c>
      <x:c r="C6" s="2">
        <x:v>5</x:v>
      </x:c>
      <x:c r="D6" s="2" t="s">
        <x:v>487</x:v>
      </x:c>
      <x:c r="E6" s="2" t="s">
        <x:v>488</x:v>
      </x:c>
    </x:row>
    <x:row r="7">
      <x:c r="A7" s="2"/>
      <x:c r="B7" s="2"/>
      <x:c r="C7" s="2"/>
      <x:c r="D7" s="2"/>
      <x:c r="E7" s="2"/>
    </x:row>
    <x:row r="8" ht="27.950000762939453" customHeight="1">
      <x:c r="A8" s="13" t="s">
        <x:v>489</x:v>
      </x:c>
      <x:c r="B8" s="13"/>
      <x:c r="C8" s="13"/>
      <x:c r="D8" s="13"/>
      <x:c r="E8" s="13"/>
    </x:row>
    <x:row r="9" ht="35.099998474121094" customHeight="1">
      <x:c r="A9" s="2" t="s">
        <x:v>490</x:v>
      </x:c>
      <x:c r="B9" s="2" t="s">
        <x:v>491</x:v>
      </x:c>
      <x:c r="C9" s="2"/>
      <x:c r="D9" s="2"/>
      <x:c r="E9" s="2"/>
    </x:row>
    <x:row r="10" ht="35.099998474121094" customHeight="1">
      <x:c r="A10" s="2" t="s">
        <x:v>492</x:v>
      </x:c>
      <x:c r="B10" s="2" t="s">
        <x:v>493</x:v>
      </x:c>
      <x:c r="C10" s="2"/>
      <x:c r="D10" s="2"/>
      <x:c r="E10" s="2"/>
    </x:row>
    <x:row r="11" ht="35.099998474121094" customHeight="1">
      <x:c r="A11" s="2" t="s">
        <x:v>494</x:v>
      </x:c>
      <x:c r="B11" s="2" t="s">
        <x:v>495</x:v>
      </x:c>
      <x:c r="C11" s="2"/>
      <x:c r="D11" s="2"/>
      <x:c r="E11" s="2"/>
    </x:row>
    <x:row r="12" ht="35.099998474121094" customHeight="1">
      <x:c r="A12" s="2" t="s">
        <x:v>496</x:v>
      </x:c>
      <x:c r="B12" s="2" t="s">
        <x:v>497</x:v>
      </x:c>
      <x:c r="C12" s="2"/>
      <x:c r="D12" s="2"/>
      <x:c r="E12" s="2"/>
    </x:row>
    <x:row r="13" ht="35.099998474121094" customHeight="1">
      <x:c r="A13" s="2" t="s">
        <x:v>498</x:v>
      </x:c>
      <x:c r="B13" s="2" t="s">
        <x:v>499</x:v>
      </x:c>
      <x:c r="C13" s="2"/>
      <x:c r="D13" s="2"/>
      <x:c r="E13" s="2"/>
    </x:row>
    <x:row r="14" ht="35.099998474121094" customHeight="1">
      <x:c r="A14" s="2" t="s">
        <x:v>500</x:v>
      </x:c>
      <x:c r="B14" s="2" t="s">
        <x:v>501</x:v>
      </x:c>
      <x:c r="C14" s="2"/>
      <x:c r="D14" s="2"/>
      <x:c r="E14" s="2"/>
    </x:row>
    <x:row r="15" ht="35.099998474121094" customHeight="1">
      <x:c r="A15" s="2" t="s">
        <x:v>502</x:v>
      </x:c>
      <x:c r="B15" s="2" t="s">
        <x:v>503</x:v>
      </x:c>
      <x:c r="C15" s="2"/>
      <x:c r="D15" s="2"/>
      <x:c r="E15" s="2"/>
    </x:row>
    <x:row r="16" ht="35.099998474121094" customHeight="1">
      <x:c r="A16" s="2" t="s">
        <x:v>504</x:v>
      </x:c>
      <x:c r="B16" s="2" t="s">
        <x:v>505</x:v>
      </x:c>
      <x:c r="C16" s="2"/>
      <x:c r="D16" s="2"/>
      <x:c r="E16" s="2"/>
    </x:row>
    <x:row r="17" ht="35.099998474121094" customHeight="1">
      <x:c r="A17" s="2" t="s">
        <x:v>506</x:v>
      </x:c>
      <x:c r="B17" s="2" t="s">
        <x:v>507</x:v>
      </x:c>
      <x:c r="C17" s="2"/>
      <x:c r="D17" s="2"/>
      <x:c r="E17" s="2"/>
    </x:row>
    <x:row r="18" ht="35.099998474121094" customHeight="1">
      <x:c r="A18" s="2" t="s">
        <x:v>508</x:v>
      </x:c>
      <x:c r="B18" s="2" t="s">
        <x:v>509</x:v>
      </x:c>
      <x:c r="C18" s="2"/>
      <x:c r="D18" s="2"/>
      <x:c r="E18" s="2"/>
    </x:row>
    <x:row r="19" ht="35.099998474121094" customHeight="1">
      <x:c r="A19" s="2" t="s">
        <x:v>510</x:v>
      </x:c>
      <x:c r="B19" s="2" t="s">
        <x:v>511</x:v>
      </x:c>
      <x:c r="C19" s="2"/>
      <x:c r="D19" s="2"/>
      <x:c r="E19" s="2"/>
    </x:row>
    <x:row r="20" ht="35.099998474121094" customHeight="1">
      <x:c r="A20" s="2" t="s">
        <x:v>512</x:v>
      </x:c>
      <x:c r="B20" s="2" t="s">
        <x:v>513</x:v>
      </x:c>
      <x:c r="C20" s="2"/>
      <x:c r="D20" s="2"/>
      <x:c r="E20" s="2"/>
    </x:row>
    <x:row r="21" ht="35.099998474121094" customHeight="1">
      <x:c r="A21" s="2" t="s">
        <x:v>514</x:v>
      </x:c>
      <x:c r="B21" s="2" t="s">
        <x:v>515</x:v>
      </x:c>
      <x:c r="C21" s="2"/>
      <x:c r="D21" s="2"/>
      <x:c r="E21" s="2"/>
    </x:row>
  </x:sheetData>
  <x:mergeCells>
    <x:mergeCell ref="A8:E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baseColWidth="10" defaultColWidth="9" defaultRowHeight="14.25"/>
  <x:cols>
    <x:col min="1" max="1" width="13" customWidth="1"/>
    <x:col min="2" max="2" width="28" customWidth="1"/>
    <x:col min="3" max="3" width="62" customWidth="1"/>
    <x:col min="4" max="4" width="28" customWidth="1"/>
    <x:col min="5" max="5" width="20" customWidth="1"/>
    <x:col min="6" max="6" width="16" customWidth="1"/>
    <x:col min="7" max="7" width="34" customWidth="1"/>
    <x:col min="8" max="8" width="30" customWidth="1"/>
  </x:cols>
  <x:sheetData>
    <x:row r="1" ht="32.099998474121094" customHeight="1">
      <x:c r="A1" s="14" t="s">
        <x:v>516</x:v>
      </x:c>
      <x:c r="B1" s="14"/>
      <x:c r="C1" s="14"/>
      <x:c r="D1" s="14"/>
      <x:c r="E1" s="14"/>
      <x:c r="F1" s="14"/>
      <x:c r="G1" s="14"/>
      <x:c r="H1" s="14"/>
    </x:row>
    <x:row r="3" ht="36" customHeight="1">
      <x:c r="A3" s="3" t="s">
        <x:v>517</x:v>
      </x:c>
      <x:c r="B3" s="3" t="s">
        <x:v>518</x:v>
      </x:c>
      <x:c r="C3" s="3" t="s">
        <x:v>519</x:v>
      </x:c>
      <x:c r="D3" s="3" t="s">
        <x:v>18</x:v>
      </x:c>
      <x:c r="E3" s="3" t="s">
        <x:v>520</x:v>
      </x:c>
      <x:c r="F3" s="3" t="s">
        <x:v>22</x:v>
      </x:c>
      <x:c r="G3" s="3" t="s">
        <x:v>521</x:v>
      </x:c>
      <x:c r="H3" s="3" t="s">
        <x:v>522</x:v>
      </x:c>
    </x:row>
    <x:row r="4" ht="63.95000076293945" customHeight="1">
      <x:c r="A4" s="2" t="s">
        <x:v>94</x:v>
      </x:c>
      <x:c r="B4" s="2" t="s">
        <x:v>523</x:v>
      </x:c>
      <x:c r="C4" s="2" t="s">
        <x:v>524</x:v>
      </x:c>
      <x:c r="D4" s="2" t="s">
        <x:v>525</x:v>
      </x:c>
      <x:c r="E4" s="2" t="s">
        <x:v>526</x:v>
      </x:c>
      <x:c r="F4" s="2" t="s">
        <x:v>527</x:v>
      </x:c>
      <x:c r="G4" s="2" t="s">
        <x:v>528</x:v>
      </x:c>
      <x:c r="H4" s="2" t="s">
        <x:v>529</x:v>
      </x:c>
    </x:row>
    <x:row r="5" ht="63.95000076293945" customHeight="1">
      <x:c r="A5" s="2" t="s">
        <x:v>206</x:v>
      </x:c>
      <x:c r="B5" s="2" t="s">
        <x:v>530</x:v>
      </x:c>
      <x:c r="C5" s="2" t="s">
        <x:v>531</x:v>
      </x:c>
      <x:c r="D5" s="2" t="s">
        <x:v>532</x:v>
      </x:c>
      <x:c r="E5" s="2" t="s">
        <x:v>533</x:v>
      </x:c>
      <x:c r="F5" s="2" t="s">
        <x:v>527</x:v>
      </x:c>
      <x:c r="G5" s="2" t="s">
        <x:v>534</x:v>
      </x:c>
      <x:c r="H5" s="2" t="s">
        <x:v>535</x:v>
      </x:c>
    </x:row>
    <x:row r="6" ht="63.95000076293945" customHeight="1">
      <x:c r="A6" s="2" t="s">
        <x:v>244</x:v>
      </x:c>
      <x:c r="B6" s="2" t="s">
        <x:v>536</x:v>
      </x:c>
      <x:c r="C6" s="2" t="s">
        <x:v>537</x:v>
      </x:c>
      <x:c r="D6" s="2" t="s">
        <x:v>532</x:v>
      </x:c>
      <x:c r="E6" s="2" t="s">
        <x:v>533</x:v>
      </x:c>
      <x:c r="F6" s="2" t="s">
        <x:v>527</x:v>
      </x:c>
      <x:c r="G6" s="2" t="s">
        <x:v>538</x:v>
      </x:c>
      <x:c r="H6" s="2"/>
    </x:row>
    <x:row r="7" ht="63.95000076293945" customHeight="1">
      <x:c r="A7" s="2" t="s">
        <x:v>253</x:v>
      </x:c>
      <x:c r="B7" s="2" t="s">
        <x:v>539</x:v>
      </x:c>
      <x:c r="C7" s="2" t="s">
        <x:v>540</x:v>
      </x:c>
      <x:c r="D7" s="2" t="s">
        <x:v>532</x:v>
      </x:c>
      <x:c r="E7" s="2" t="s">
        <x:v>533</x:v>
      </x:c>
      <x:c r="F7" s="2" t="s">
        <x:v>527</x:v>
      </x:c>
      <x:c r="G7" s="2" t="s">
        <x:v>541</x:v>
      </x:c>
      <x:c r="H7" s="2" t="s">
        <x:v>542</x:v>
      </x:c>
    </x:row>
    <x:row r="8" ht="63.95000076293945" customHeight="1">
      <x:c r="A8" s="2" t="s">
        <x:v>301</x:v>
      </x:c>
      <x:c r="B8" s="2" t="s">
        <x:v>543</x:v>
      </x:c>
      <x:c r="C8" s="2" t="s">
        <x:v>544</x:v>
      </x:c>
      <x:c r="D8" s="2" t="s">
        <x:v>545</x:v>
      </x:c>
      <x:c r="E8" s="2" t="s">
        <x:v>546</x:v>
      </x:c>
      <x:c r="F8" s="2" t="s">
        <x:v>527</x:v>
      </x:c>
      <x:c r="G8" s="2" t="s">
        <x:v>547</x:v>
      </x:c>
      <x:c r="H8" s="2"/>
    </x:row>
    <x:row r="9" ht="63.95000076293945" customHeight="1">
      <x:c r="A9" s="2" t="s">
        <x:v>310</x:v>
      </x:c>
      <x:c r="B9" s="2" t="s">
        <x:v>548</x:v>
      </x:c>
      <x:c r="C9" s="2" t="s">
        <x:v>549</x:v>
      </x:c>
      <x:c r="D9" s="2" t="s">
        <x:v>550</x:v>
      </x:c>
      <x:c r="E9" s="2" t="s">
        <x:v>526</x:v>
      </x:c>
      <x:c r="F9" s="2" t="s">
        <x:v>527</x:v>
      </x:c>
      <x:c r="G9" s="2" t="s">
        <x:v>551</x:v>
      </x:c>
      <x:c r="H9" s="2"/>
    </x:row>
    <x:row r="10" ht="63.95000076293945" customHeight="1">
      <x:c r="A10" s="2" t="s">
        <x:v>338</x:v>
      </x:c>
      <x:c r="B10" s="2" t="s">
        <x:v>552</x:v>
      </x:c>
      <x:c r="C10" s="2" t="s">
        <x:v>553</x:v>
      </x:c>
      <x:c r="D10" s="2" t="s">
        <x:v>554</x:v>
      </x:c>
      <x:c r="E10" s="2" t="s">
        <x:v>555</x:v>
      </x:c>
      <x:c r="F10" s="2" t="s">
        <x:v>527</x:v>
      </x:c>
      <x:c r="G10" s="2" t="s">
        <x:v>556</x:v>
      </x:c>
      <x:c r="H10" s="2"/>
    </x:row>
    <x:row r="11" ht="63.95000076293945" customHeight="1">
      <x:c r="A11" s="2" t="s">
        <x:v>368</x:v>
      </x:c>
      <x:c r="B11" s="2" t="s">
        <x:v>557</x:v>
      </x:c>
      <x:c r="C11" s="2" t="s">
        <x:v>558</x:v>
      </x:c>
      <x:c r="D11" s="2" t="s">
        <x:v>559</x:v>
      </x:c>
      <x:c r="E11" s="2" t="s">
        <x:v>555</x:v>
      </x:c>
      <x:c r="F11" s="2" t="s">
        <x:v>527</x:v>
      </x:c>
      <x:c r="G11" s="2" t="s">
        <x:v>560</x:v>
      </x:c>
      <x:c r="H11" s="2"/>
    </x:row>
    <x:row r="12" ht="63.95000076293945" customHeight="1">
      <x:c r="A12" s="2" t="s">
        <x:v>394</x:v>
      </x:c>
      <x:c r="B12" s="2" t="s">
        <x:v>561</x:v>
      </x:c>
      <x:c r="C12" s="2" t="s">
        <x:v>562</x:v>
      </x:c>
      <x:c r="D12" s="2" t="s">
        <x:v>554</x:v>
      </x:c>
      <x:c r="E12" s="2" t="s">
        <x:v>526</x:v>
      </x:c>
      <x:c r="F12" s="2" t="s">
        <x:v>527</x:v>
      </x:c>
      <x:c r="G12" s="2" t="s">
        <x:v>563</x:v>
      </x:c>
      <x:c r="H12" s="2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3" topLeftCell="A14" activePane="bottomLeft" state="frozen"/>
    </x:sheetView>
  </x:sheetViews>
  <x:sheetFormatPr baseColWidth="10" defaultColWidth="9" defaultRowHeight="14.25"/>
  <x:cols>
    <x:col min="1" max="1" width="10" customWidth="1"/>
    <x:col min="2" max="2" width="24" customWidth="1"/>
    <x:col min="3" max="3" width="18" customWidth="1"/>
    <x:col min="4" max="4" width="13" customWidth="1"/>
    <x:col min="5" max="5" width="32" customWidth="1"/>
    <x:col min="6" max="6" width="45" customWidth="1"/>
    <x:col min="7" max="7" width="44" customWidth="1"/>
    <x:col min="8" max="8" width="46" customWidth="1"/>
    <x:col min="9" max="9" width="56" customWidth="1"/>
    <x:col min="10" max="11" width="10" customWidth="1"/>
    <x:col min="12" max="12" width="11" customWidth="1"/>
    <x:col min="13" max="13" width="13" customWidth="1"/>
    <x:col min="14" max="15" width="12" customWidth="1"/>
    <x:col min="16" max="16" width="13" customWidth="1"/>
    <x:col min="17" max="17" width="15" customWidth="1"/>
    <x:col min="18" max="18" width="22" customWidth="1"/>
    <x:col min="19" max="19" width="24" customWidth="1"/>
    <x:col min="20" max="20" width="26" customWidth="1"/>
    <x:col min="21" max="21" width="16" customWidth="1"/>
    <x:col min="22" max="22" width="15" customWidth="1"/>
  </x:cols>
  <x:sheetData>
    <x:row r="1" ht="33.95000076293945" customHeight="1">
      <x:c r="A1" s="15" t="s">
        <x:v>564</x:v>
      </x:c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  <x:c r="N1" s="15"/>
      <x:c r="O1" s="15"/>
      <x:c r="P1" s="15"/>
      <x:c r="Q1" s="15"/>
      <x:c r="R1" s="15"/>
      <x:c r="S1" s="15"/>
      <x:c r="T1" s="15"/>
      <x:c r="U1" s="15"/>
      <x:c r="V1" s="15"/>
    </x:row>
    <x:row r="2" ht="24" customHeight="1">
      <x:c r="A2" s="16" t="s">
        <x:v>565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</x:row>
    <x:row r="3" ht="24.950000762939453" customHeight="1">
      <x:c r="A3" s="17" t="s">
        <x:v>566</x:v>
      </x:c>
      <x:c r="B3" s="17"/>
      <x:c r="C3" s="17"/>
      <x:c r="D3" s="17"/>
      <x:c r="E3" s="17" t="s">
        <x:v>567</x:v>
      </x:c>
      <x:c r="F3" s="17"/>
      <x:c r="G3" s="17"/>
      <x:c r="H3" s="17"/>
      <x:c r="I3" s="17"/>
      <x:c r="J3" s="17"/>
      <x:c r="K3" s="17" t="s">
        <x:v>568</x:v>
      </x:c>
      <x:c r="L3" s="17"/>
      <x:c r="M3" s="17"/>
      <x:c r="N3" s="17"/>
      <x:c r="O3" s="17"/>
      <x:c r="P3" s="17"/>
      <x:c r="Q3" s="17" t="s">
        <x:v>569</x:v>
      </x:c>
      <x:c r="R3" s="17"/>
      <x:c r="S3" s="17"/>
      <x:c r="T3" s="17"/>
      <x:c r="U3" s="17"/>
      <x:c r="V3" s="17"/>
    </x:row>
    <x:row r="5" ht="30.950000762939453" customHeight="1">
      <x:c r="A5" s="18" t="s">
        <x:v>570</x:v>
      </x:c>
      <x:c r="B5" s="18"/>
      <x:c r="C5" s="18"/>
      <x:c r="D5" s="18"/>
      <x:c r="E5" s="18"/>
      <x:c r="F5" s="18"/>
      <x:c r="G5" s="18"/>
      <x:c r="H5" s="18"/>
      <x:c r="I5" s="18"/>
      <x:c r="J5" s="18"/>
      <x:c r="K5" s="18"/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</x:row>
    <x:row r="6" ht="30.950000762939453" customHeight="1">
      <x:c r="A6" s="18" t="s">
        <x:v>571</x:v>
      </x:c>
      <x:c r="B6" s="18"/>
      <x:c r="C6" s="18"/>
      <x:c r="D6" s="18"/>
      <x:c r="E6" s="18"/>
      <x:c r="F6" s="18"/>
      <x:c r="G6" s="18"/>
      <x:c r="H6" s="18"/>
      <x:c r="I6" s="18"/>
      <x:c r="J6" s="18"/>
      <x:c r="K6" s="18"/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</x:row>
    <x:row r="8" ht="15">
      <x:c r="A8" s="19" t="s">
        <x:v>572</x:v>
      </x:c>
      <x:c r="B8" s="19"/>
      <x:c r="C8" s="19"/>
      <x:c r="D8" s="19"/>
      <x:c r="E8" s="19"/>
      <x:c r="F8" s="19"/>
      <x:c r="G8" s="19"/>
      <x:c r="H8" s="19"/>
      <x:c r="I8" s="20" t="s">
        <x:v>573</x:v>
      </x:c>
      <x:c r="J8" s="20"/>
      <x:c r="K8" s="20"/>
      <x:c r="L8" s="20"/>
      <x:c r="M8" s="20"/>
      <x:c r="N8" s="20"/>
      <x:c r="O8" s="20"/>
      <x:c r="P8" s="20"/>
      <x:c r="Q8" s="20"/>
      <x:c r="R8" s="19" t="s">
        <x:v>574</x:v>
      </x:c>
      <x:c r="S8" s="19"/>
      <x:c r="T8" s="19"/>
      <x:c r="U8" s="19"/>
      <x:c r="V8" s="19"/>
    </x:row>
    <x:row r="13" ht="42" customHeight="1">
      <x:c r="A13" s="6" t="s">
        <x:v>575</x:v>
      </x:c>
      <x:c r="B13" s="6" t="s">
        <x:v>576</x:v>
      </x:c>
      <x:c r="C13" s="6" t="s">
        <x:v>577</x:v>
      </x:c>
      <x:c r="D13" s="6" t="s">
        <x:v>578</x:v>
      </x:c>
      <x:c r="E13" s="6" t="s">
        <x:v>579</x:v>
      </x:c>
      <x:c r="F13" s="6" t="s">
        <x:v>580</x:v>
      </x:c>
      <x:c r="G13" s="6" t="s">
        <x:v>581</x:v>
      </x:c>
      <x:c r="H13" s="6" t="s">
        <x:v>582</x:v>
      </x:c>
      <x:c r="I13" s="6" t="s">
        <x:v>583</x:v>
      </x:c>
      <x:c r="J13" s="6" t="s">
        <x:v>40</x:v>
      </x:c>
      <x:c r="K13" s="6" t="s">
        <x:v>41</x:v>
      </x:c>
      <x:c r="L13" s="6" t="s">
        <x:v>584</x:v>
      </x:c>
      <x:c r="M13" s="6" t="s">
        <x:v>585</x:v>
      </x:c>
      <x:c r="N13" s="6" t="s">
        <x:v>586</x:v>
      </x:c>
      <x:c r="O13" s="6" t="s">
        <x:v>587</x:v>
      </x:c>
      <x:c r="P13" s="6" t="s">
        <x:v>588</x:v>
      </x:c>
      <x:c r="Q13" s="6" t="s">
        <x:v>589</x:v>
      </x:c>
      <x:c r="R13" s="6" t="s">
        <x:v>590</x:v>
      </x:c>
      <x:c r="S13" s="6" t="s">
        <x:v>591</x:v>
      </x:c>
      <x:c r="T13" s="6" t="s">
        <x:v>592</x:v>
      </x:c>
      <x:c r="U13" s="6" t="s">
        <x:v>22</x:v>
      </x:c>
      <x:c r="V13" s="6" t="s">
        <x:v>593</x:v>
      </x:c>
    </x:row>
    <x:row r="14" ht="90" customHeight="1">
      <x:c r="A14" s="7" t="s">
        <x:v>594</x:v>
      </x:c>
      <x:c r="B14" s="7" t="s">
        <x:v>595</x:v>
      </x:c>
      <x:c r="C14" s="7" t="s">
        <x:v>596</x:v>
      </x:c>
      <x:c r="D14" s="7" t="s">
        <x:v>597</x:v>
      </x:c>
      <x:c r="E14" s="7" t="s">
        <x:v>598</x:v>
      </x:c>
      <x:c r="F14" s="7" t="s">
        <x:v>599</x:v>
      </x:c>
      <x:c r="G14" s="7" t="s">
        <x:v>600</x:v>
      </x:c>
      <x:c r="H14" s="7" t="s">
        <x:v>601</x:v>
      </x:c>
      <x:c r="I14" s="7" t="s">
        <x:v>602</x:v>
      </x:c>
      <x:c r="J14" s="8">
        <x:v>4</x:v>
      </x:c>
      <x:c r="K14" s="8">
        <x:v>5</x:v>
      </x:c>
      <x:c r="L14" s="8" t="n">
        <x:f t="shared" ref="L14:L43" si="0">J14*K14</x:f>
        <x:v>20</x:v>
      </x:c>
      <x:c r="M14" s="8" t="str">
        <x:f t="shared" ref="M14:M43" si="1">IF(L14&gt;=17,"CRÍTICO",IF(L14&gt;=10,"ALTO",IF(L14&gt;=5,"MEDIO","BAJO")))</x:f>
        <x:v>CRÍTICO</x:v>
      </x:c>
      <x:c r="N14" s="8">
        <x:v>2</x:v>
      </x:c>
      <x:c r="O14" s="8">
        <x:v>5</x:v>
      </x:c>
      <x:c r="P14" s="8" t="n">
        <x:f t="shared" ref="P14:P43" si="2">N14*O14</x:f>
        <x:v>10</x:v>
      </x:c>
      <x:c r="Q14" s="8" t="str">
        <x:f t="shared" ref="Q14:Q43" si="3">IF(P14&gt;=17,"CRÍTICO",IF(P14&gt;=10,"ALTO",IF(P14&gt;=5,"MEDIO","BAJO")))</x:f>
        <x:v>ALTO</x:v>
      </x:c>
      <x:c r="R14" s="7" t="s">
        <x:v>603</x:v>
      </x:c>
      <x:c r="S14" s="7" t="s">
        <x:v>604</x:v>
      </x:c>
      <x:c r="T14" s="7" t="s">
        <x:v>533</x:v>
      </x:c>
      <x:c r="U14" s="7" t="s">
        <x:v>605</x:v>
      </x:c>
      <x:c r="V14" s="7"/>
    </x:row>
    <x:row r="15" ht="90" customHeight="1">
      <x:c r="A15" s="7" t="s">
        <x:v>606</x:v>
      </x:c>
      <x:c r="B15" s="7" t="s">
        <x:v>595</x:v>
      </x:c>
      <x:c r="C15" s="7" t="s">
        <x:v>596</x:v>
      </x:c>
      <x:c r="D15" s="7" t="s">
        <x:v>607</x:v>
      </x:c>
      <x:c r="E15" s="7" t="s">
        <x:v>608</x:v>
      </x:c>
      <x:c r="F15" s="7" t="s">
        <x:v>609</x:v>
      </x:c>
      <x:c r="G15" s="7" t="s">
        <x:v>610</x:v>
      </x:c>
      <x:c r="H15" s="7" t="s">
        <x:v>611</x:v>
      </x:c>
      <x:c r="I15" s="7" t="s">
        <x:v>612</x:v>
      </x:c>
      <x:c r="J15" s="8">
        <x:v>4</x:v>
      </x:c>
      <x:c r="K15" s="8">
        <x:v>3</x:v>
      </x:c>
      <x:c r="L15" s="8">
        <x:f t="shared" si="0"/>
        <x:v>12</x:v>
      </x:c>
      <x:c r="M15" s="8" t="str">
        <x:f t="shared" si="1"/>
        <x:v>ALTO</x:v>
      </x:c>
      <x:c r="N15" s="8">
        <x:v>2</x:v>
      </x:c>
      <x:c r="O15" s="8">
        <x:v>3</x:v>
      </x:c>
      <x:c r="P15" s="8">
        <x:f t="shared" si="2"/>
        <x:v>6</x:v>
      </x:c>
      <x:c r="Q15" s="8" t="str">
        <x:f t="shared" si="3"/>
        <x:v>MEDIO</x:v>
      </x:c>
      <x:c r="R15" s="7" t="s">
        <x:v>338</x:v>
      </x:c>
      <x:c r="S15" s="7" t="s">
        <x:v>613</x:v>
      </x:c>
      <x:c r="T15" s="7" t="s">
        <x:v>614</x:v>
      </x:c>
      <x:c r="U15" s="7" t="s">
        <x:v>605</x:v>
      </x:c>
      <x:c r="V15" s="7"/>
    </x:row>
    <x:row r="16" ht="90" customHeight="1">
      <x:c r="A16" s="7" t="s">
        <x:v>615</x:v>
      </x:c>
      <x:c r="B16" s="7" t="s">
        <x:v>595</x:v>
      </x:c>
      <x:c r="C16" s="7" t="s">
        <x:v>596</x:v>
      </x:c>
      <x:c r="D16" s="7" t="s">
        <x:v>616</x:v>
      </x:c>
      <x:c r="E16" s="7" t="s">
        <x:v>617</x:v>
      </x:c>
      <x:c r="F16" s="7" t="s">
        <x:v>618</x:v>
      </x:c>
      <x:c r="G16" s="7" t="s">
        <x:v>619</x:v>
      </x:c>
      <x:c r="H16" s="7" t="s">
        <x:v>620</x:v>
      </x:c>
      <x:c r="I16" s="7" t="s">
        <x:v>621</x:v>
      </x:c>
      <x:c r="J16" s="8">
        <x:v>4</x:v>
      </x:c>
      <x:c r="K16" s="8">
        <x:v>4</x:v>
      </x:c>
      <x:c r="L16" s="8">
        <x:f t="shared" si="0"/>
        <x:v>16</x:v>
      </x:c>
      <x:c r="M16" s="8" t="str">
        <x:f t="shared" si="1"/>
        <x:v>ALTO</x:v>
      </x:c>
      <x:c r="N16" s="8">
        <x:v>2</x:v>
      </x:c>
      <x:c r="O16" s="8">
        <x:v>4</x:v>
      </x:c>
      <x:c r="P16" s="8">
        <x:f t="shared" si="2"/>
        <x:v>8</x:v>
      </x:c>
      <x:c r="Q16" s="8" t="str">
        <x:f t="shared" si="3"/>
        <x:v>MEDIO</x:v>
      </x:c>
      <x:c r="R16" s="7" t="s">
        <x:v>338</x:v>
      </x:c>
      <x:c r="S16" s="7" t="s">
        <x:v>613</x:v>
      </x:c>
      <x:c r="T16" s="7" t="s">
        <x:v>555</x:v>
      </x:c>
      <x:c r="U16" s="7" t="s">
        <x:v>605</x:v>
      </x:c>
      <x:c r="V16" s="7"/>
    </x:row>
    <x:row r="17" ht="90" customHeight="1">
      <x:c r="A17" s="7" t="s">
        <x:v>622</x:v>
      </x:c>
      <x:c r="B17" s="7" t="s">
        <x:v>595</x:v>
      </x:c>
      <x:c r="C17" s="7" t="s">
        <x:v>623</x:v>
      </x:c>
      <x:c r="D17" s="7" t="s">
        <x:v>597</x:v>
      </x:c>
      <x:c r="E17" s="7" t="s">
        <x:v>624</x:v>
      </x:c>
      <x:c r="F17" s="7" t="s">
        <x:v>625</x:v>
      </x:c>
      <x:c r="G17" s="7" t="s">
        <x:v>626</x:v>
      </x:c>
      <x:c r="H17" s="7" t="s">
        <x:v>627</x:v>
      </x:c>
      <x:c r="I17" s="7" t="s">
        <x:v>628</x:v>
      </x:c>
      <x:c r="J17" s="8">
        <x:v>4</x:v>
      </x:c>
      <x:c r="K17" s="8">
        <x:v>5</x:v>
      </x:c>
      <x:c r="L17" s="8">
        <x:f t="shared" si="0"/>
        <x:v>20</x:v>
      </x:c>
      <x:c r="M17" s="8" t="str">
        <x:f t="shared" si="1"/>
        <x:v>CRÍTICO</x:v>
      </x:c>
      <x:c r="N17" s="8">
        <x:v>2</x:v>
      </x:c>
      <x:c r="O17" s="8">
        <x:v>5</x:v>
      </x:c>
      <x:c r="P17" s="8">
        <x:f t="shared" si="2"/>
        <x:v>10</x:v>
      </x:c>
      <x:c r="Q17" s="8" t="str">
        <x:f t="shared" si="3"/>
        <x:v>ALTO</x:v>
      </x:c>
      <x:c r="R17" s="7" t="s">
        <x:v>629</x:v>
      </x:c>
      <x:c r="S17" s="7" t="s">
        <x:v>630</x:v>
      </x:c>
      <x:c r="T17" s="7" t="s">
        <x:v>546</x:v>
      </x:c>
      <x:c r="U17" s="7" t="s">
        <x:v>605</x:v>
      </x:c>
      <x:c r="V17" s="7"/>
    </x:row>
    <x:row r="18" ht="90" customHeight="1">
      <x:c r="A18" s="7" t="s">
        <x:v>631</x:v>
      </x:c>
      <x:c r="B18" s="7" t="s">
        <x:v>595</x:v>
      </x:c>
      <x:c r="C18" s="7" t="s">
        <x:v>623</x:v>
      </x:c>
      <x:c r="D18" s="7" t="s">
        <x:v>632</x:v>
      </x:c>
      <x:c r="E18" s="7" t="s">
        <x:v>633</x:v>
      </x:c>
      <x:c r="F18" s="7" t="s">
        <x:v>634</x:v>
      </x:c>
      <x:c r="G18" s="7" t="s">
        <x:v>635</x:v>
      </x:c>
      <x:c r="H18" s="7" t="s">
        <x:v>636</x:v>
      </x:c>
      <x:c r="I18" s="7" t="s">
        <x:v>637</x:v>
      </x:c>
      <x:c r="J18" s="8">
        <x:v>3</x:v>
      </x:c>
      <x:c r="K18" s="8">
        <x:v>3</x:v>
      </x:c>
      <x:c r="L18" s="8">
        <x:f t="shared" si="0"/>
        <x:v>9</x:v>
      </x:c>
      <x:c r="M18" s="8" t="str">
        <x:f t="shared" si="1"/>
        <x:v>MEDIO</x:v>
      </x:c>
      <x:c r="N18" s="8">
        <x:v>2</x:v>
      </x:c>
      <x:c r="O18" s="8">
        <x:v>3</x:v>
      </x:c>
      <x:c r="P18" s="8">
        <x:f t="shared" si="2"/>
        <x:v>6</x:v>
      </x:c>
      <x:c r="Q18" s="8" t="str">
        <x:f t="shared" si="3"/>
        <x:v>MEDIO</x:v>
      </x:c>
      <x:c r="R18" s="7" t="s">
        <x:v>638</x:v>
      </x:c>
      <x:c r="S18" s="7" t="s">
        <x:v>639</x:v>
      </x:c>
      <x:c r="T18" s="7" t="s">
        <x:v>640</x:v>
      </x:c>
      <x:c r="U18" s="7" t="s">
        <x:v>605</x:v>
      </x:c>
      <x:c r="V18" s="7"/>
    </x:row>
    <x:row r="19" ht="90" customHeight="1">
      <x:c r="A19" s="7" t="s">
        <x:v>641</x:v>
      </x:c>
      <x:c r="B19" s="7" t="s">
        <x:v>595</x:v>
      </x:c>
      <x:c r="C19" s="7" t="s">
        <x:v>642</x:v>
      </x:c>
      <x:c r="D19" s="7" t="s">
        <x:v>643</x:v>
      </x:c>
      <x:c r="E19" s="7" t="s">
        <x:v>644</x:v>
      </x:c>
      <x:c r="F19" s="7" t="s">
        <x:v>645</x:v>
      </x:c>
      <x:c r="G19" s="7" t="s">
        <x:v>646</x:v>
      </x:c>
      <x:c r="H19" s="7" t="s">
        <x:v>647</x:v>
      </x:c>
      <x:c r="I19" s="7" t="s">
        <x:v>648</x:v>
      </x:c>
      <x:c r="J19" s="8">
        <x:v>4</x:v>
      </x:c>
      <x:c r="K19" s="8">
        <x:v>5</x:v>
      </x:c>
      <x:c r="L19" s="8">
        <x:f t="shared" si="0"/>
        <x:v>20</x:v>
      </x:c>
      <x:c r="M19" s="8" t="str">
        <x:f t="shared" si="1"/>
        <x:v>CRÍTICO</x:v>
      </x:c>
      <x:c r="N19" s="8">
        <x:v>1</x:v>
      </x:c>
      <x:c r="O19" s="8">
        <x:v>5</x:v>
      </x:c>
      <x:c r="P19" s="8">
        <x:f t="shared" si="2"/>
        <x:v>5</x:v>
      </x:c>
      <x:c r="Q19" s="8" t="str">
        <x:f t="shared" si="3"/>
        <x:v>MEDIO</x:v>
      </x:c>
      <x:c r="R19" s="7" t="s">
        <x:v>649</x:v>
      </x:c>
      <x:c r="S19" s="7" t="s">
        <x:v>650</x:v>
      </x:c>
      <x:c r="T19" s="7" t="s">
        <x:v>651</x:v>
      </x:c>
      <x:c r="U19" s="7" t="s">
        <x:v>605</x:v>
      </x:c>
      <x:c r="V19" s="7" t="s">
        <x:v>652</x:v>
      </x:c>
    </x:row>
    <x:row r="20" ht="90" customHeight="1">
      <x:c r="A20" s="7" t="s">
        <x:v>653</x:v>
      </x:c>
      <x:c r="B20" s="7" t="s">
        <x:v>654</x:v>
      </x:c>
      <x:c r="C20" s="7" t="s">
        <x:v>655</x:v>
      </x:c>
      <x:c r="D20" s="7" t="s">
        <x:v>632</x:v>
      </x:c>
      <x:c r="E20" s="7" t="s">
        <x:v>656</x:v>
      </x:c>
      <x:c r="F20" s="7" t="s">
        <x:v>657</x:v>
      </x:c>
      <x:c r="G20" s="7" t="s">
        <x:v>658</x:v>
      </x:c>
      <x:c r="H20" s="7" t="s">
        <x:v>659</x:v>
      </x:c>
      <x:c r="I20" s="7" t="s">
        <x:v>660</x:v>
      </x:c>
      <x:c r="J20" s="8">
        <x:v>4</x:v>
      </x:c>
      <x:c r="K20" s="8">
        <x:v>5</x:v>
      </x:c>
      <x:c r="L20" s="8">
        <x:f t="shared" si="0"/>
        <x:v>20</x:v>
      </x:c>
      <x:c r="M20" s="8" t="str">
        <x:f t="shared" si="1"/>
        <x:v>CRÍTICO</x:v>
      </x:c>
      <x:c r="N20" s="8">
        <x:v>2</x:v>
      </x:c>
      <x:c r="O20" s="8">
        <x:v>5</x:v>
      </x:c>
      <x:c r="P20" s="8">
        <x:f t="shared" si="2"/>
        <x:v>10</x:v>
      </x:c>
      <x:c r="Q20" s="8" t="str">
        <x:f t="shared" si="3"/>
        <x:v>ALTO</x:v>
      </x:c>
      <x:c r="R20" s="7" t="s">
        <x:v>301</x:v>
      </x:c>
      <x:c r="S20" s="7" t="s">
        <x:v>639</x:v>
      </x:c>
      <x:c r="T20" s="7" t="s">
        <x:v>526</x:v>
      </x:c>
      <x:c r="U20" s="7" t="s">
        <x:v>605</x:v>
      </x:c>
      <x:c r="V20" s="7"/>
    </x:row>
    <x:row r="21" ht="90" customHeight="1">
      <x:c r="A21" s="7" t="s">
        <x:v>661</x:v>
      </x:c>
      <x:c r="B21" s="7" t="s">
        <x:v>654</x:v>
      </x:c>
      <x:c r="C21" s="7" t="s">
        <x:v>655</x:v>
      </x:c>
      <x:c r="D21" s="7" t="s">
        <x:v>597</x:v>
      </x:c>
      <x:c r="E21" s="7" t="s">
        <x:v>662</x:v>
      </x:c>
      <x:c r="F21" s="7" t="s">
        <x:v>663</x:v>
      </x:c>
      <x:c r="G21" s="7" t="s">
        <x:v>664</x:v>
      </x:c>
      <x:c r="H21" s="7" t="s">
        <x:v>665</x:v>
      </x:c>
      <x:c r="I21" s="7" t="s">
        <x:v>666</x:v>
      </x:c>
      <x:c r="J21" s="8">
        <x:v>3</x:v>
      </x:c>
      <x:c r="K21" s="8">
        <x:v>3</x:v>
      </x:c>
      <x:c r="L21" s="8">
        <x:f t="shared" si="0"/>
        <x:v>9</x:v>
      </x:c>
      <x:c r="M21" s="8" t="str">
        <x:f t="shared" si="1"/>
        <x:v>MEDIO</x:v>
      </x:c>
      <x:c r="N21" s="8">
        <x:v>2</x:v>
      </x:c>
      <x:c r="O21" s="8">
        <x:v>3</x:v>
      </x:c>
      <x:c r="P21" s="8">
        <x:f t="shared" si="2"/>
        <x:v>6</x:v>
      </x:c>
      <x:c r="Q21" s="8" t="str">
        <x:f t="shared" si="3"/>
        <x:v>MEDIO</x:v>
      </x:c>
      <x:c r="R21" s="7" t="s">
        <x:v>338</x:v>
      </x:c>
      <x:c r="S21" s="7" t="s">
        <x:v>667</x:v>
      </x:c>
      <x:c r="T21" s="7" t="s">
        <x:v>668</x:v>
      </x:c>
      <x:c r="U21" s="7" t="s">
        <x:v>605</x:v>
      </x:c>
      <x:c r="V21" s="7"/>
    </x:row>
    <x:row r="22" ht="90" customHeight="1">
      <x:c r="A22" s="7" t="s">
        <x:v>669</x:v>
      </x:c>
      <x:c r="B22" s="7" t="s">
        <x:v>654</x:v>
      </x:c>
      <x:c r="C22" s="7" t="s">
        <x:v>655</x:v>
      </x:c>
      <x:c r="D22" s="7" t="s">
        <x:v>607</x:v>
      </x:c>
      <x:c r="E22" s="7" t="s">
        <x:v>670</x:v>
      </x:c>
      <x:c r="F22" s="7" t="s">
        <x:v>671</x:v>
      </x:c>
      <x:c r="G22" s="7" t="s">
        <x:v>672</x:v>
      </x:c>
      <x:c r="H22" s="7" t="s">
        <x:v>673</x:v>
      </x:c>
      <x:c r="I22" s="7" t="s">
        <x:v>674</x:v>
      </x:c>
      <x:c r="J22" s="8">
        <x:v>4</x:v>
      </x:c>
      <x:c r="K22" s="8">
        <x:v>5</x:v>
      </x:c>
      <x:c r="L22" s="8">
        <x:f t="shared" si="0"/>
        <x:v>20</x:v>
      </x:c>
      <x:c r="M22" s="8" t="str">
        <x:f t="shared" si="1"/>
        <x:v>CRÍTICO</x:v>
      </x:c>
      <x:c r="N22" s="8">
        <x:v>2</x:v>
      </x:c>
      <x:c r="O22" s="8">
        <x:v>5</x:v>
      </x:c>
      <x:c r="P22" s="8">
        <x:f t="shared" si="2"/>
        <x:v>10</x:v>
      </x:c>
      <x:c r="Q22" s="8" t="str">
        <x:f t="shared" si="3"/>
        <x:v>ALTO</x:v>
      </x:c>
      <x:c r="R22" s="7" t="s">
        <x:v>675</x:v>
      </x:c>
      <x:c r="S22" s="7" t="s">
        <x:v>676</x:v>
      </x:c>
      <x:c r="T22" s="7" t="s">
        <x:v>614</x:v>
      </x:c>
      <x:c r="U22" s="7" t="s">
        <x:v>605</x:v>
      </x:c>
      <x:c r="V22" s="7"/>
    </x:row>
    <x:row r="23" ht="90" customHeight="1">
      <x:c r="A23" s="7" t="s">
        <x:v>677</x:v>
      </x:c>
      <x:c r="B23" s="7" t="s">
        <x:v>654</x:v>
      </x:c>
      <x:c r="C23" s="7" t="s">
        <x:v>678</x:v>
      </x:c>
      <x:c r="D23" s="7" t="s">
        <x:v>643</x:v>
      </x:c>
      <x:c r="E23" s="7" t="s">
        <x:v>679</x:v>
      </x:c>
      <x:c r="F23" s="7" t="s">
        <x:v>680</x:v>
      </x:c>
      <x:c r="G23" s="7" t="s">
        <x:v>681</x:v>
      </x:c>
      <x:c r="H23" s="7" t="s">
        <x:v>682</x:v>
      </x:c>
      <x:c r="I23" s="7" t="s">
        <x:v>683</x:v>
      </x:c>
      <x:c r="J23" s="8">
        <x:v>4</x:v>
      </x:c>
      <x:c r="K23" s="8">
        <x:v>4</x:v>
      </x:c>
      <x:c r="L23" s="8">
        <x:f t="shared" si="0"/>
        <x:v>16</x:v>
      </x:c>
      <x:c r="M23" s="8" t="str">
        <x:f t="shared" si="1"/>
        <x:v>ALTO</x:v>
      </x:c>
      <x:c r="N23" s="8">
        <x:v>2</x:v>
      </x:c>
      <x:c r="O23" s="8">
        <x:v>4</x:v>
      </x:c>
      <x:c r="P23" s="8">
        <x:f t="shared" si="2"/>
        <x:v>8</x:v>
      </x:c>
      <x:c r="Q23" s="8" t="str">
        <x:f t="shared" si="3"/>
        <x:v>MEDIO</x:v>
      </x:c>
      <x:c r="R23" s="7" t="s">
        <x:v>338</x:v>
      </x:c>
      <x:c r="S23" s="7" t="s">
        <x:v>613</x:v>
      </x:c>
      <x:c r="T23" s="7" t="s">
        <x:v>555</x:v>
      </x:c>
      <x:c r="U23" s="7" t="s">
        <x:v>605</x:v>
      </x:c>
      <x:c r="V23" s="7"/>
    </x:row>
    <x:row r="24" ht="90" customHeight="1">
      <x:c r="A24" s="7" t="s">
        <x:v>684</x:v>
      </x:c>
      <x:c r="B24" s="7" t="s">
        <x:v>685</x:v>
      </x:c>
      <x:c r="C24" s="7" t="s">
        <x:v>686</x:v>
      </x:c>
      <x:c r="D24" s="7" t="s">
        <x:v>597</x:v>
      </x:c>
      <x:c r="E24" s="7" t="s">
        <x:v>687</x:v>
      </x:c>
      <x:c r="F24" s="7" t="s">
        <x:v>688</x:v>
      </x:c>
      <x:c r="G24" s="7" t="s">
        <x:v>689</x:v>
      </x:c>
      <x:c r="H24" s="7" t="s">
        <x:v>690</x:v>
      </x:c>
      <x:c r="I24" s="7" t="s">
        <x:v>691</x:v>
      </x:c>
      <x:c r="J24" s="8">
        <x:v>3</x:v>
      </x:c>
      <x:c r="K24" s="8">
        <x:v>4</x:v>
      </x:c>
      <x:c r="L24" s="8">
        <x:f t="shared" si="0"/>
        <x:v>12</x:v>
      </x:c>
      <x:c r="M24" s="8" t="str">
        <x:f t="shared" si="1"/>
        <x:v>ALTO</x:v>
      </x:c>
      <x:c r="N24" s="8">
        <x:v>2</x:v>
      </x:c>
      <x:c r="O24" s="8">
        <x:v>4</x:v>
      </x:c>
      <x:c r="P24" s="8">
        <x:f t="shared" si="2"/>
        <x:v>8</x:v>
      </x:c>
      <x:c r="Q24" s="8" t="str">
        <x:f t="shared" si="3"/>
        <x:v>MEDIO</x:v>
      </x:c>
      <x:c r="R24" s="7" t="s">
        <x:v>301</x:v>
      </x:c>
      <x:c r="S24" s="7" t="s">
        <x:v>639</x:v>
      </x:c>
      <x:c r="T24" s="7" t="s">
        <x:v>614</x:v>
      </x:c>
      <x:c r="U24" s="7" t="s">
        <x:v>605</x:v>
      </x:c>
      <x:c r="V24" s="7"/>
    </x:row>
    <x:row r="25" ht="90" customHeight="1">
      <x:c r="A25" s="7" t="s">
        <x:v>692</x:v>
      </x:c>
      <x:c r="B25" s="7" t="s">
        <x:v>685</x:v>
      </x:c>
      <x:c r="C25" s="7" t="s">
        <x:v>693</x:v>
      </x:c>
      <x:c r="D25" s="7" t="s">
        <x:v>694</x:v>
      </x:c>
      <x:c r="E25" s="7" t="s">
        <x:v>695</x:v>
      </x:c>
      <x:c r="F25" s="7" t="s">
        <x:v>696</x:v>
      </x:c>
      <x:c r="G25" s="7" t="s">
        <x:v>697</x:v>
      </x:c>
      <x:c r="H25" s="7" t="s">
        <x:v>698</x:v>
      </x:c>
      <x:c r="I25" s="7" t="s">
        <x:v>699</x:v>
      </x:c>
      <x:c r="J25" s="8">
        <x:v>4</x:v>
      </x:c>
      <x:c r="K25" s="8">
        <x:v>5</x:v>
      </x:c>
      <x:c r="L25" s="8">
        <x:f t="shared" si="0"/>
        <x:v>20</x:v>
      </x:c>
      <x:c r="M25" s="8" t="str">
        <x:f t="shared" si="1"/>
        <x:v>CRÍTICO</x:v>
      </x:c>
      <x:c r="N25" s="8">
        <x:v>2</x:v>
      </x:c>
      <x:c r="O25" s="8">
        <x:v>5</x:v>
      </x:c>
      <x:c r="P25" s="8">
        <x:f t="shared" si="2"/>
        <x:v>10</x:v>
      </x:c>
      <x:c r="Q25" s="8" t="str">
        <x:f t="shared" si="3"/>
        <x:v>ALTO</x:v>
      </x:c>
      <x:c r="R25" s="7" t="s">
        <x:v>244</x:v>
      </x:c>
      <x:c r="S25" s="7" t="s">
        <x:v>639</x:v>
      </x:c>
      <x:c r="T25" s="7" t="s">
        <x:v>668</x:v>
      </x:c>
      <x:c r="U25" s="7" t="s">
        <x:v>605</x:v>
      </x:c>
      <x:c r="V25" s="7"/>
    </x:row>
    <x:row r="26" ht="90" customHeight="1">
      <x:c r="A26" s="7" t="s">
        <x:v>700</x:v>
      </x:c>
      <x:c r="B26" s="7" t="s">
        <x:v>685</x:v>
      </x:c>
      <x:c r="C26" s="7" t="s">
        <x:v>701</x:v>
      </x:c>
      <x:c r="D26" s="7" t="s">
        <x:v>632</x:v>
      </x:c>
      <x:c r="E26" s="7" t="s">
        <x:v>702</x:v>
      </x:c>
      <x:c r="F26" s="7" t="s">
        <x:v>703</x:v>
      </x:c>
      <x:c r="G26" s="7" t="s">
        <x:v>704</x:v>
      </x:c>
      <x:c r="H26" s="7" t="s">
        <x:v>705</x:v>
      </x:c>
      <x:c r="I26" s="7" t="s">
        <x:v>706</x:v>
      </x:c>
      <x:c r="J26" s="8">
        <x:v>3</x:v>
      </x:c>
      <x:c r="K26" s="8">
        <x:v>5</x:v>
      </x:c>
      <x:c r="L26" s="8">
        <x:f t="shared" si="0"/>
        <x:v>15</x:v>
      </x:c>
      <x:c r="M26" s="8" t="str">
        <x:f t="shared" si="1"/>
        <x:v>ALTO</x:v>
      </x:c>
      <x:c r="N26" s="8">
        <x:v>1</x:v>
      </x:c>
      <x:c r="O26" s="8">
        <x:v>5</x:v>
      </x:c>
      <x:c r="P26" s="8">
        <x:f t="shared" si="2"/>
        <x:v>5</x:v>
      </x:c>
      <x:c r="Q26" s="8" t="str">
        <x:f t="shared" si="3"/>
        <x:v>MEDIO</x:v>
      </x:c>
      <x:c r="R26" s="7" t="s">
        <x:v>707</x:v>
      </x:c>
      <x:c r="S26" s="7" t="s">
        <x:v>604</x:v>
      </x:c>
      <x:c r="T26" s="7" t="s">
        <x:v>526</x:v>
      </x:c>
      <x:c r="U26" s="7" t="s">
        <x:v>605</x:v>
      </x:c>
      <x:c r="V26" s="7"/>
    </x:row>
    <x:row r="27" ht="90" customHeight="1">
      <x:c r="A27" s="7" t="s">
        <x:v>708</x:v>
      </x:c>
      <x:c r="B27" s="7" t="s">
        <x:v>685</x:v>
      </x:c>
      <x:c r="C27" s="7" t="s">
        <x:v>709</x:v>
      </x:c>
      <x:c r="D27" s="7" t="s">
        <x:v>710</x:v>
      </x:c>
      <x:c r="E27" s="7" t="s">
        <x:v>711</x:v>
      </x:c>
      <x:c r="F27" s="7" t="s">
        <x:v>712</x:v>
      </x:c>
      <x:c r="G27" s="7" t="s">
        <x:v>713</x:v>
      </x:c>
      <x:c r="H27" s="7" t="s">
        <x:v>714</x:v>
      </x:c>
      <x:c r="I27" s="7" t="s">
        <x:v>715</x:v>
      </x:c>
      <x:c r="J27" s="8">
        <x:v>4</x:v>
      </x:c>
      <x:c r="K27" s="8">
        <x:v>3</x:v>
      </x:c>
      <x:c r="L27" s="8">
        <x:f t="shared" si="0"/>
        <x:v>12</x:v>
      </x:c>
      <x:c r="M27" s="8" t="str">
        <x:f t="shared" si="1"/>
        <x:v>ALTO</x:v>
      </x:c>
      <x:c r="N27" s="8">
        <x:v>2</x:v>
      </x:c>
      <x:c r="O27" s="8">
        <x:v>3</x:v>
      </x:c>
      <x:c r="P27" s="8">
        <x:f t="shared" si="2"/>
        <x:v>6</x:v>
      </x:c>
      <x:c r="Q27" s="8" t="str">
        <x:f t="shared" si="3"/>
        <x:v>MEDIO</x:v>
      </x:c>
      <x:c r="R27" s="7" t="s">
        <x:v>338</x:v>
      </x:c>
      <x:c r="S27" s="7" t="s">
        <x:v>639</x:v>
      </x:c>
      <x:c r="T27" s="7" t="s">
        <x:v>614</x:v>
      </x:c>
      <x:c r="U27" s="7" t="s">
        <x:v>605</x:v>
      </x:c>
      <x:c r="V27" s="7"/>
    </x:row>
    <x:row r="28" ht="90" customHeight="1">
      <x:c r="A28" s="7" t="s">
        <x:v>716</x:v>
      </x:c>
      <x:c r="B28" s="7" t="s">
        <x:v>685</x:v>
      </x:c>
      <x:c r="C28" s="7" t="s">
        <x:v>709</x:v>
      </x:c>
      <x:c r="D28" s="7" t="s">
        <x:v>717</x:v>
      </x:c>
      <x:c r="E28" s="7" t="s">
        <x:v>718</x:v>
      </x:c>
      <x:c r="F28" s="7" t="s">
        <x:v>719</x:v>
      </x:c>
      <x:c r="G28" s="7" t="s">
        <x:v>720</x:v>
      </x:c>
      <x:c r="H28" s="7" t="s">
        <x:v>721</x:v>
      </x:c>
      <x:c r="I28" s="7" t="s">
        <x:v>722</x:v>
      </x:c>
      <x:c r="J28" s="8">
        <x:v>3</x:v>
      </x:c>
      <x:c r="K28" s="8">
        <x:v>4</x:v>
      </x:c>
      <x:c r="L28" s="8">
        <x:f t="shared" si="0"/>
        <x:v>12</x:v>
      </x:c>
      <x:c r="M28" s="8" t="str">
        <x:f t="shared" si="1"/>
        <x:v>ALTO</x:v>
      </x:c>
      <x:c r="N28" s="8">
        <x:v>2</x:v>
      </x:c>
      <x:c r="O28" s="8">
        <x:v>4</x:v>
      </x:c>
      <x:c r="P28" s="8">
        <x:f t="shared" si="2"/>
        <x:v>8</x:v>
      </x:c>
      <x:c r="Q28" s="8" t="str">
        <x:f t="shared" si="3"/>
        <x:v>MEDIO</x:v>
      </x:c>
      <x:c r="R28" s="7" t="s">
        <x:v>301</x:v>
      </x:c>
      <x:c r="S28" s="7" t="s">
        <x:v>639</x:v>
      </x:c>
      <x:c r="T28" s="7" t="s">
        <x:v>614</x:v>
      </x:c>
      <x:c r="U28" s="7" t="s">
        <x:v>605</x:v>
      </x:c>
      <x:c r="V28" s="7"/>
    </x:row>
    <x:row r="29" ht="90" customHeight="1">
      <x:c r="A29" s="7" t="s">
        <x:v>723</x:v>
      </x:c>
      <x:c r="B29" s="7" t="s">
        <x:v>685</x:v>
      </x:c>
      <x:c r="C29" s="7" t="s">
        <x:v>724</x:v>
      </x:c>
      <x:c r="D29" s="7" t="s">
        <x:v>643</x:v>
      </x:c>
      <x:c r="E29" s="7" t="s">
        <x:v>725</x:v>
      </x:c>
      <x:c r="F29" s="7" t="s">
        <x:v>726</x:v>
      </x:c>
      <x:c r="G29" s="7" t="s">
        <x:v>727</x:v>
      </x:c>
      <x:c r="H29" s="7" t="s">
        <x:v>728</x:v>
      </x:c>
      <x:c r="I29" s="7" t="s">
        <x:v>729</x:v>
      </x:c>
      <x:c r="J29" s="8">
        <x:v>4</x:v>
      </x:c>
      <x:c r="K29" s="8">
        <x:v>5</x:v>
      </x:c>
      <x:c r="L29" s="8">
        <x:f t="shared" si="0"/>
        <x:v>20</x:v>
      </x:c>
      <x:c r="M29" s="8" t="str">
        <x:f t="shared" si="1"/>
        <x:v>CRÍTICO</x:v>
      </x:c>
      <x:c r="N29" s="8">
        <x:v>1</x:v>
      </x:c>
      <x:c r="O29" s="8">
        <x:v>5</x:v>
      </x:c>
      <x:c r="P29" s="8">
        <x:f t="shared" si="2"/>
        <x:v>5</x:v>
      </x:c>
      <x:c r="Q29" s="8" t="str">
        <x:f t="shared" si="3"/>
        <x:v>MEDIO</x:v>
      </x:c>
      <x:c r="R29" s="7" t="s">
        <x:v>310</x:v>
      </x:c>
      <x:c r="S29" s="7" t="s">
        <x:v>604</x:v>
      </x:c>
      <x:c r="T29" s="7" t="s">
        <x:v>533</x:v>
      </x:c>
      <x:c r="U29" s="7" t="s">
        <x:v>605</x:v>
      </x:c>
      <x:c r="V29" s="7"/>
    </x:row>
    <x:row r="30" ht="90" customHeight="1">
      <x:c r="A30" s="7" t="s">
        <x:v>730</x:v>
      </x:c>
      <x:c r="B30" s="7" t="s">
        <x:v>731</x:v>
      </x:c>
      <x:c r="C30" s="7" t="s">
        <x:v>732</x:v>
      </x:c>
      <x:c r="D30" s="7" t="s">
        <x:v>632</x:v>
      </x:c>
      <x:c r="E30" s="7" t="s">
        <x:v>733</x:v>
      </x:c>
      <x:c r="F30" s="7" t="s">
        <x:v>734</x:v>
      </x:c>
      <x:c r="G30" s="7" t="s">
        <x:v>735</x:v>
      </x:c>
      <x:c r="H30" s="7" t="s">
        <x:v>736</x:v>
      </x:c>
      <x:c r="I30" s="7" t="s">
        <x:v>737</x:v>
      </x:c>
      <x:c r="J30" s="8">
        <x:v>4</x:v>
      </x:c>
      <x:c r="K30" s="8">
        <x:v>4</x:v>
      </x:c>
      <x:c r="L30" s="8">
        <x:f t="shared" si="0"/>
        <x:v>16</x:v>
      </x:c>
      <x:c r="M30" s="8" t="str">
        <x:f t="shared" si="1"/>
        <x:v>ALTO</x:v>
      </x:c>
      <x:c r="N30" s="8">
        <x:v>2</x:v>
      </x:c>
      <x:c r="O30" s="8">
        <x:v>4</x:v>
      </x:c>
      <x:c r="P30" s="8">
        <x:f t="shared" si="2"/>
        <x:v>8</x:v>
      </x:c>
      <x:c r="Q30" s="8" t="str">
        <x:f t="shared" si="3"/>
        <x:v>MEDIO</x:v>
      </x:c>
      <x:c r="R30" s="7" t="s">
        <x:v>338</x:v>
      </x:c>
      <x:c r="S30" s="7" t="s">
        <x:v>738</x:v>
      </x:c>
      <x:c r="T30" s="7" t="s">
        <x:v>614</x:v>
      </x:c>
      <x:c r="U30" s="7" t="s">
        <x:v>605</x:v>
      </x:c>
      <x:c r="V30" s="7"/>
    </x:row>
    <x:row r="31" ht="90" customHeight="1">
      <x:c r="A31" s="7" t="s">
        <x:v>739</x:v>
      </x:c>
      <x:c r="B31" s="7" t="s">
        <x:v>731</x:v>
      </x:c>
      <x:c r="C31" s="7" t="s">
        <x:v>740</x:v>
      </x:c>
      <x:c r="D31" s="7" t="s">
        <x:v>632</x:v>
      </x:c>
      <x:c r="E31" s="7" t="s">
        <x:v>741</x:v>
      </x:c>
      <x:c r="F31" s="7" t="s">
        <x:v>742</x:v>
      </x:c>
      <x:c r="G31" s="7" t="s">
        <x:v>743</x:v>
      </x:c>
      <x:c r="H31" s="7" t="s">
        <x:v>744</x:v>
      </x:c>
      <x:c r="I31" s="7" t="s">
        <x:v>745</x:v>
      </x:c>
      <x:c r="J31" s="8">
        <x:v>4</x:v>
      </x:c>
      <x:c r="K31" s="8">
        <x:v>5</x:v>
      </x:c>
      <x:c r="L31" s="8">
        <x:f t="shared" si="0"/>
        <x:v>20</x:v>
      </x:c>
      <x:c r="M31" s="8" t="str">
        <x:f t="shared" si="1"/>
        <x:v>CRÍTICO</x:v>
      </x:c>
      <x:c r="N31" s="8">
        <x:v>2</x:v>
      </x:c>
      <x:c r="O31" s="8">
        <x:v>5</x:v>
      </x:c>
      <x:c r="P31" s="8">
        <x:f t="shared" si="2"/>
        <x:v>10</x:v>
      </x:c>
      <x:c r="Q31" s="8" t="str">
        <x:f t="shared" si="3"/>
        <x:v>ALTO</x:v>
      </x:c>
      <x:c r="R31" s="7" t="s">
        <x:v>368</x:v>
      </x:c>
      <x:c r="S31" s="7" t="s">
        <x:v>746</x:v>
      </x:c>
      <x:c r="T31" s="7" t="s">
        <x:v>555</x:v>
      </x:c>
      <x:c r="U31" s="7" t="s">
        <x:v>605</x:v>
      </x:c>
      <x:c r="V31" s="7"/>
    </x:row>
    <x:row r="32" ht="90" customHeight="1">
      <x:c r="A32" s="7" t="s">
        <x:v>747</x:v>
      </x:c>
      <x:c r="B32" s="7" t="s">
        <x:v>731</x:v>
      </x:c>
      <x:c r="C32" s="7" t="s">
        <x:v>748</x:v>
      </x:c>
      <x:c r="D32" s="7" t="s">
        <x:v>694</x:v>
      </x:c>
      <x:c r="E32" s="7" t="s">
        <x:v>749</x:v>
      </x:c>
      <x:c r="F32" s="7" t="s">
        <x:v>750</x:v>
      </x:c>
      <x:c r="G32" s="7" t="s">
        <x:v>751</x:v>
      </x:c>
      <x:c r="H32" s="7" t="s">
        <x:v>752</x:v>
      </x:c>
      <x:c r="I32" s="7" t="s">
        <x:v>753</x:v>
      </x:c>
      <x:c r="J32" s="8">
        <x:v>3</x:v>
      </x:c>
      <x:c r="K32" s="8">
        <x:v>4</x:v>
      </x:c>
      <x:c r="L32" s="8">
        <x:f t="shared" si="0"/>
        <x:v>12</x:v>
      </x:c>
      <x:c r="M32" s="8" t="str">
        <x:f t="shared" si="1"/>
        <x:v>ALTO</x:v>
      </x:c>
      <x:c r="N32" s="8">
        <x:v>2</x:v>
      </x:c>
      <x:c r="O32" s="8">
        <x:v>4</x:v>
      </x:c>
      <x:c r="P32" s="8">
        <x:f t="shared" si="2"/>
        <x:v>8</x:v>
      </x:c>
      <x:c r="Q32" s="8" t="str">
        <x:f t="shared" si="3"/>
        <x:v>MEDIO</x:v>
      </x:c>
      <x:c r="R32" s="7" t="s">
        <x:v>368</x:v>
      </x:c>
      <x:c r="S32" s="7" t="s">
        <x:v>754</x:v>
      </x:c>
      <x:c r="T32" s="7" t="s">
        <x:v>755</x:v>
      </x:c>
      <x:c r="U32" s="7" t="s">
        <x:v>605</x:v>
      </x:c>
      <x:c r="V32" s="7"/>
    </x:row>
    <x:row r="33" ht="90" customHeight="1">
      <x:c r="A33" s="7" t="s">
        <x:v>756</x:v>
      </x:c>
      <x:c r="B33" s="7" t="s">
        <x:v>731</x:v>
      </x:c>
      <x:c r="C33" s="7" t="s">
        <x:v>757</x:v>
      </x:c>
      <x:c r="D33" s="7" t="s">
        <x:v>597</x:v>
      </x:c>
      <x:c r="E33" s="7" t="s">
        <x:v>758</x:v>
      </x:c>
      <x:c r="F33" s="7" t="s">
        <x:v>759</x:v>
      </x:c>
      <x:c r="G33" s="7" t="s">
        <x:v>760</x:v>
      </x:c>
      <x:c r="H33" s="7" t="s">
        <x:v>761</x:v>
      </x:c>
      <x:c r="I33" s="7" t="s">
        <x:v>762</x:v>
      </x:c>
      <x:c r="J33" s="8">
        <x:v>4</x:v>
      </x:c>
      <x:c r="K33" s="8">
        <x:v>5</x:v>
      </x:c>
      <x:c r="L33" s="8">
        <x:f t="shared" si="0"/>
        <x:v>20</x:v>
      </x:c>
      <x:c r="M33" s="8" t="str">
        <x:f t="shared" si="1"/>
        <x:v>CRÍTICO</x:v>
      </x:c>
      <x:c r="N33" s="8">
        <x:v>1</x:v>
      </x:c>
      <x:c r="O33" s="8">
        <x:v>5</x:v>
      </x:c>
      <x:c r="P33" s="8">
        <x:f t="shared" si="2"/>
        <x:v>5</x:v>
      </x:c>
      <x:c r="Q33" s="8" t="str">
        <x:f t="shared" si="3"/>
        <x:v>MEDIO</x:v>
      </x:c>
      <x:c r="R33" s="7" t="s">
        <x:v>763</x:v>
      </x:c>
      <x:c r="S33" s="7" t="s">
        <x:v>764</x:v>
      </x:c>
      <x:c r="T33" s="7" t="s">
        <x:v>651</x:v>
      </x:c>
      <x:c r="U33" s="7" t="s">
        <x:v>605</x:v>
      </x:c>
      <x:c r="V33" s="7" t="s">
        <x:v>652</x:v>
      </x:c>
    </x:row>
    <x:row r="34" ht="90" customHeight="1">
      <x:c r="A34" s="7" t="s">
        <x:v>765</x:v>
      </x:c>
      <x:c r="B34" s="7" t="s">
        <x:v>766</x:v>
      </x:c>
      <x:c r="C34" s="7" t="s">
        <x:v>767</x:v>
      </x:c>
      <x:c r="D34" s="7" t="s">
        <x:v>597</x:v>
      </x:c>
      <x:c r="E34" s="7" t="s">
        <x:v>768</x:v>
      </x:c>
      <x:c r="F34" s="7" t="s">
        <x:v>769</x:v>
      </x:c>
      <x:c r="G34" s="7" t="s">
        <x:v>770</x:v>
      </x:c>
      <x:c r="H34" s="7" t="s">
        <x:v>771</x:v>
      </x:c>
      <x:c r="I34" s="7" t="s">
        <x:v>772</x:v>
      </x:c>
      <x:c r="J34" s="8">
        <x:v>4</x:v>
      </x:c>
      <x:c r="K34" s="8">
        <x:v>5</x:v>
      </x:c>
      <x:c r="L34" s="8">
        <x:f t="shared" si="0"/>
        <x:v>20</x:v>
      </x:c>
      <x:c r="M34" s="8" t="str">
        <x:f t="shared" si="1"/>
        <x:v>CRÍTICO</x:v>
      </x:c>
      <x:c r="N34" s="8">
        <x:v>2</x:v>
      </x:c>
      <x:c r="O34" s="8">
        <x:v>5</x:v>
      </x:c>
      <x:c r="P34" s="8">
        <x:f t="shared" si="2"/>
        <x:v>10</x:v>
      </x:c>
      <x:c r="Q34" s="8" t="str">
        <x:f t="shared" si="3"/>
        <x:v>ALTO</x:v>
      </x:c>
      <x:c r="R34" s="7" t="s">
        <x:v>206</x:v>
      </x:c>
      <x:c r="S34" s="7" t="s">
        <x:v>773</x:v>
      </x:c>
      <x:c r="T34" s="7" t="s">
        <x:v>533</x:v>
      </x:c>
      <x:c r="U34" s="7" t="s">
        <x:v>605</x:v>
      </x:c>
      <x:c r="V34" s="7"/>
    </x:row>
    <x:row r="35" ht="90" customHeight="1">
      <x:c r="A35" s="7" t="s">
        <x:v>774</x:v>
      </x:c>
      <x:c r="B35" s="7" t="s">
        <x:v>766</x:v>
      </x:c>
      <x:c r="C35" s="7" t="s">
        <x:v>775</x:v>
      </x:c>
      <x:c r="D35" s="7" t="s">
        <x:v>643</x:v>
      </x:c>
      <x:c r="E35" s="7" t="s">
        <x:v>776</x:v>
      </x:c>
      <x:c r="F35" s="7" t="s">
        <x:v>777</x:v>
      </x:c>
      <x:c r="G35" s="7" t="s">
        <x:v>778</x:v>
      </x:c>
      <x:c r="H35" s="7" t="s">
        <x:v>779</x:v>
      </x:c>
      <x:c r="I35" s="7" t="s">
        <x:v>780</x:v>
      </x:c>
      <x:c r="J35" s="8">
        <x:v>4</x:v>
      </x:c>
      <x:c r="K35" s="8">
        <x:v>5</x:v>
      </x:c>
      <x:c r="L35" s="8">
        <x:f t="shared" si="0"/>
        <x:v>20</x:v>
      </x:c>
      <x:c r="M35" s="8" t="str">
        <x:f t="shared" si="1"/>
        <x:v>CRÍTICO</x:v>
      </x:c>
      <x:c r="N35" s="8">
        <x:v>1</x:v>
      </x:c>
      <x:c r="O35" s="8">
        <x:v>5</x:v>
      </x:c>
      <x:c r="P35" s="8">
        <x:f t="shared" si="2"/>
        <x:v>5</x:v>
      </x:c>
      <x:c r="Q35" s="8" t="str">
        <x:f t="shared" si="3"/>
        <x:v>MEDIO</x:v>
      </x:c>
      <x:c r="R35" s="7" t="s">
        <x:v>206</x:v>
      </x:c>
      <x:c r="S35" s="7" t="s">
        <x:v>630</x:v>
      </x:c>
      <x:c r="T35" s="7" t="s">
        <x:v>533</x:v>
      </x:c>
      <x:c r="U35" s="7" t="s">
        <x:v>605</x:v>
      </x:c>
      <x:c r="V35" s="7"/>
    </x:row>
    <x:row r="36" ht="90" customHeight="1">
      <x:c r="A36" s="7" t="s">
        <x:v>781</x:v>
      </x:c>
      <x:c r="B36" s="7" t="s">
        <x:v>766</x:v>
      </x:c>
      <x:c r="C36" s="7" t="s">
        <x:v>782</x:v>
      </x:c>
      <x:c r="D36" s="7" t="s">
        <x:v>632</x:v>
      </x:c>
      <x:c r="E36" s="7" t="s">
        <x:v>783</x:v>
      </x:c>
      <x:c r="F36" s="7" t="s">
        <x:v>784</x:v>
      </x:c>
      <x:c r="G36" s="7" t="s">
        <x:v>785</x:v>
      </x:c>
      <x:c r="H36" s="7" t="s">
        <x:v>786</x:v>
      </x:c>
      <x:c r="I36" s="7" t="s">
        <x:v>787</x:v>
      </x:c>
      <x:c r="J36" s="8">
        <x:v>4</x:v>
      </x:c>
      <x:c r="K36" s="8">
        <x:v>5</x:v>
      </x:c>
      <x:c r="L36" s="8">
        <x:f t="shared" si="0"/>
        <x:v>20</x:v>
      </x:c>
      <x:c r="M36" s="8" t="str">
        <x:f t="shared" si="1"/>
        <x:v>CRÍTICO</x:v>
      </x:c>
      <x:c r="N36" s="8">
        <x:v>2</x:v>
      </x:c>
      <x:c r="O36" s="8">
        <x:v>5</x:v>
      </x:c>
      <x:c r="P36" s="8">
        <x:f t="shared" si="2"/>
        <x:v>10</x:v>
      </x:c>
      <x:c r="Q36" s="8" t="str">
        <x:f t="shared" si="3"/>
        <x:v>ALTO</x:v>
      </x:c>
      <x:c r="R36" s="7" t="s">
        <x:v>707</x:v>
      </x:c>
      <x:c r="S36" s="7" t="s">
        <x:v>630</x:v>
      </x:c>
      <x:c r="T36" s="7" t="s">
        <x:v>533</x:v>
      </x:c>
      <x:c r="U36" s="7" t="s">
        <x:v>605</x:v>
      </x:c>
      <x:c r="V36" s="7"/>
    </x:row>
    <x:row r="37" ht="90" customHeight="1">
      <x:c r="A37" s="7" t="s">
        <x:v>788</x:v>
      </x:c>
      <x:c r="B37" s="7" t="s">
        <x:v>766</x:v>
      </x:c>
      <x:c r="C37" s="7" t="s">
        <x:v>789</x:v>
      </x:c>
      <x:c r="D37" s="7" t="s">
        <x:v>632</x:v>
      </x:c>
      <x:c r="E37" s="7" t="s">
        <x:v>790</x:v>
      </x:c>
      <x:c r="F37" s="7" t="s">
        <x:v>791</x:v>
      </x:c>
      <x:c r="G37" s="7" t="s">
        <x:v>792</x:v>
      </x:c>
      <x:c r="H37" s="7" t="s">
        <x:v>793</x:v>
      </x:c>
      <x:c r="I37" s="7" t="s">
        <x:v>794</x:v>
      </x:c>
      <x:c r="J37" s="8">
        <x:v>3</x:v>
      </x:c>
      <x:c r="K37" s="8">
        <x:v>4</x:v>
      </x:c>
      <x:c r="L37" s="8">
        <x:f t="shared" si="0"/>
        <x:v>12</x:v>
      </x:c>
      <x:c r="M37" s="8" t="str">
        <x:f t="shared" si="1"/>
        <x:v>ALTO</x:v>
      </x:c>
      <x:c r="N37" s="8">
        <x:v>2</x:v>
      </x:c>
      <x:c r="O37" s="8">
        <x:v>4</x:v>
      </x:c>
      <x:c r="P37" s="8">
        <x:f t="shared" si="2"/>
        <x:v>8</x:v>
      </x:c>
      <x:c r="Q37" s="8" t="str">
        <x:f t="shared" si="3"/>
        <x:v>MEDIO</x:v>
      </x:c>
      <x:c r="R37" s="7" t="s">
        <x:v>310</x:v>
      </x:c>
      <x:c r="S37" s="7" t="s">
        <x:v>639</x:v>
      </x:c>
      <x:c r="T37" s="7" t="s">
        <x:v>526</x:v>
      </x:c>
      <x:c r="U37" s="7" t="s">
        <x:v>605</x:v>
      </x:c>
      <x:c r="V37" s="7"/>
    </x:row>
    <x:row r="38" ht="90" customHeight="1">
      <x:c r="A38" s="7" t="s">
        <x:v>795</x:v>
      </x:c>
      <x:c r="B38" s="7" t="s">
        <x:v>796</x:v>
      </x:c>
      <x:c r="C38" s="7" t="s">
        <x:v>797</x:v>
      </x:c>
      <x:c r="D38" s="7" t="s">
        <x:v>632</x:v>
      </x:c>
      <x:c r="E38" s="7" t="s">
        <x:v>798</x:v>
      </x:c>
      <x:c r="F38" s="7" t="s">
        <x:v>799</x:v>
      </x:c>
      <x:c r="G38" s="7" t="s">
        <x:v>800</x:v>
      </x:c>
      <x:c r="H38" s="7" t="s">
        <x:v>801</x:v>
      </x:c>
      <x:c r="I38" s="7" t="s">
        <x:v>802</x:v>
      </x:c>
      <x:c r="J38" s="8">
        <x:v>4</x:v>
      </x:c>
      <x:c r="K38" s="8">
        <x:v>5</x:v>
      </x:c>
      <x:c r="L38" s="8">
        <x:f t="shared" si="0"/>
        <x:v>20</x:v>
      </x:c>
      <x:c r="M38" s="8" t="str">
        <x:f t="shared" si="1"/>
        <x:v>CRÍTICO</x:v>
      </x:c>
      <x:c r="N38" s="8">
        <x:v>1</x:v>
      </x:c>
      <x:c r="O38" s="8">
        <x:v>5</x:v>
      </x:c>
      <x:c r="P38" s="8">
        <x:f t="shared" si="2"/>
        <x:v>5</x:v>
      </x:c>
      <x:c r="Q38" s="8" t="str">
        <x:f t="shared" si="3"/>
        <x:v>MEDIO</x:v>
      </x:c>
      <x:c r="R38" s="7" t="s">
        <x:v>310</x:v>
      </x:c>
      <x:c r="S38" s="7" t="s">
        <x:v>803</x:v>
      </x:c>
      <x:c r="T38" s="7" t="s">
        <x:v>804</x:v>
      </x:c>
      <x:c r="U38" s="7" t="s">
        <x:v>605</x:v>
      </x:c>
      <x:c r="V38" s="7" t="s">
        <x:v>652</x:v>
      </x:c>
    </x:row>
    <x:row r="39" ht="90" customHeight="1">
      <x:c r="A39" s="7" t="s">
        <x:v>805</x:v>
      </x:c>
      <x:c r="B39" s="7" t="s">
        <x:v>796</x:v>
      </x:c>
      <x:c r="C39" s="7" t="s">
        <x:v>806</x:v>
      </x:c>
      <x:c r="D39" s="7" t="s">
        <x:v>632</x:v>
      </x:c>
      <x:c r="E39" s="7" t="s">
        <x:v>807</x:v>
      </x:c>
      <x:c r="F39" s="7" t="s">
        <x:v>808</x:v>
      </x:c>
      <x:c r="G39" s="7" t="s">
        <x:v>809</x:v>
      </x:c>
      <x:c r="H39" s="7" t="s">
        <x:v>810</x:v>
      </x:c>
      <x:c r="I39" s="7" t="s">
        <x:v>811</x:v>
      </x:c>
      <x:c r="J39" s="8">
        <x:v>4</x:v>
      </x:c>
      <x:c r="K39" s="8">
        <x:v>5</x:v>
      </x:c>
      <x:c r="L39" s="8">
        <x:f t="shared" si="0"/>
        <x:v>20</x:v>
      </x:c>
      <x:c r="M39" s="8" t="str">
        <x:f t="shared" si="1"/>
        <x:v>CRÍTICO</x:v>
      </x:c>
      <x:c r="N39" s="8">
        <x:v>1</x:v>
      </x:c>
      <x:c r="O39" s="8">
        <x:v>5</x:v>
      </x:c>
      <x:c r="P39" s="8">
        <x:f t="shared" si="2"/>
        <x:v>5</x:v>
      </x:c>
      <x:c r="Q39" s="8" t="str">
        <x:f t="shared" si="3"/>
        <x:v>MEDIO</x:v>
      </x:c>
      <x:c r="R39" s="7" t="s">
        <x:v>301</x:v>
      </x:c>
      <x:c r="S39" s="7" t="s">
        <x:v>803</x:v>
      </x:c>
      <x:c r="T39" s="7" t="s">
        <x:v>812</x:v>
      </x:c>
      <x:c r="U39" s="7" t="s">
        <x:v>605</x:v>
      </x:c>
      <x:c r="V39" s="7" t="s">
        <x:v>652</x:v>
      </x:c>
    </x:row>
    <x:row r="40" ht="90" customHeight="1">
      <x:c r="A40" s="7" t="s">
        <x:v>813</x:v>
      </x:c>
      <x:c r="B40" s="7" t="s">
        <x:v>796</x:v>
      </x:c>
      <x:c r="C40" s="7" t="s">
        <x:v>814</x:v>
      </x:c>
      <x:c r="D40" s="7" t="s">
        <x:v>710</x:v>
      </x:c>
      <x:c r="E40" s="7" t="s">
        <x:v>815</x:v>
      </x:c>
      <x:c r="F40" s="7" t="s">
        <x:v>816</x:v>
      </x:c>
      <x:c r="G40" s="7" t="s">
        <x:v>817</x:v>
      </x:c>
      <x:c r="H40" s="7" t="s">
        <x:v>818</x:v>
      </x:c>
      <x:c r="I40" s="7" t="s">
        <x:v>819</x:v>
      </x:c>
      <x:c r="J40" s="8">
        <x:v>4</x:v>
      </x:c>
      <x:c r="K40" s="8">
        <x:v>5</x:v>
      </x:c>
      <x:c r="L40" s="8">
        <x:f t="shared" si="0"/>
        <x:v>20</x:v>
      </x:c>
      <x:c r="M40" s="8" t="str">
        <x:f t="shared" si="1"/>
        <x:v>CRÍTICO</x:v>
      </x:c>
      <x:c r="N40" s="8">
        <x:v>1</x:v>
      </x:c>
      <x:c r="O40" s="8">
        <x:v>5</x:v>
      </x:c>
      <x:c r="P40" s="8">
        <x:f t="shared" si="2"/>
        <x:v>5</x:v>
      </x:c>
      <x:c r="Q40" s="8" t="str">
        <x:f t="shared" si="3"/>
        <x:v>MEDIO</x:v>
      </x:c>
      <x:c r="R40" s="7" t="s">
        <x:v>310</x:v>
      </x:c>
      <x:c r="S40" s="7" t="s">
        <x:v>604</x:v>
      </x:c>
      <x:c r="T40" s="7" t="s">
        <x:v>614</x:v>
      </x:c>
      <x:c r="U40" s="7" t="s">
        <x:v>605</x:v>
      </x:c>
      <x:c r="V40" s="7"/>
    </x:row>
    <x:row r="41" ht="90" customHeight="1">
      <x:c r="A41" s="7" t="s">
        <x:v>820</x:v>
      </x:c>
      <x:c r="B41" s="7" t="s">
        <x:v>821</x:v>
      </x:c>
      <x:c r="C41" s="7" t="s">
        <x:v>822</x:v>
      </x:c>
      <x:c r="D41" s="7" t="s">
        <x:v>597</x:v>
      </x:c>
      <x:c r="E41" s="7" t="s">
        <x:v>823</x:v>
      </x:c>
      <x:c r="F41" s="7" t="s">
        <x:v>824</x:v>
      </x:c>
      <x:c r="G41" s="7" t="s">
        <x:v>825</x:v>
      </x:c>
      <x:c r="H41" s="7" t="s">
        <x:v>826</x:v>
      </x:c>
      <x:c r="I41" s="7" t="s">
        <x:v>827</x:v>
      </x:c>
      <x:c r="J41" s="8">
        <x:v>3</x:v>
      </x:c>
      <x:c r="K41" s="8">
        <x:v>4</x:v>
      </x:c>
      <x:c r="L41" s="8">
        <x:f t="shared" si="0"/>
        <x:v>12</x:v>
      </x:c>
      <x:c r="M41" s="8" t="str">
        <x:f t="shared" si="1"/>
        <x:v>ALTO</x:v>
      </x:c>
      <x:c r="N41" s="8">
        <x:v>2</x:v>
      </x:c>
      <x:c r="O41" s="8">
        <x:v>4</x:v>
      </x:c>
      <x:c r="P41" s="8">
        <x:f t="shared" si="2"/>
        <x:v>8</x:v>
      </x:c>
      <x:c r="Q41" s="8" t="str">
        <x:f t="shared" si="3"/>
        <x:v>MEDIO</x:v>
      </x:c>
      <x:c r="R41" s="7" t="s">
        <x:v>338</x:v>
      </x:c>
      <x:c r="S41" s="7" t="s">
        <x:v>828</x:v>
      </x:c>
      <x:c r="T41" s="7" t="s">
        <x:v>614</x:v>
      </x:c>
      <x:c r="U41" s="7" t="s">
        <x:v>605</x:v>
      </x:c>
      <x:c r="V41" s="7"/>
    </x:row>
    <x:row r="42" ht="90" customHeight="1">
      <x:c r="A42" s="7" t="s">
        <x:v>829</x:v>
      </x:c>
      <x:c r="B42" s="7" t="s">
        <x:v>821</x:v>
      </x:c>
      <x:c r="C42" s="7" t="s">
        <x:v>830</x:v>
      </x:c>
      <x:c r="D42" s="7" t="s">
        <x:v>607</x:v>
      </x:c>
      <x:c r="E42" s="7" t="s">
        <x:v>831</x:v>
      </x:c>
      <x:c r="F42" s="7" t="s">
        <x:v>832</x:v>
      </x:c>
      <x:c r="G42" s="7" t="s">
        <x:v>833</x:v>
      </x:c>
      <x:c r="H42" s="7" t="s">
        <x:v>834</x:v>
      </x:c>
      <x:c r="I42" s="7" t="s">
        <x:v>835</x:v>
      </x:c>
      <x:c r="J42" s="8">
        <x:v>4</x:v>
      </x:c>
      <x:c r="K42" s="8">
        <x:v>4</x:v>
      </x:c>
      <x:c r="L42" s="8">
        <x:f t="shared" si="0"/>
        <x:v>16</x:v>
      </x:c>
      <x:c r="M42" s="8" t="str">
        <x:f t="shared" si="1"/>
        <x:v>ALTO</x:v>
      </x:c>
      <x:c r="N42" s="8">
        <x:v>2</x:v>
      </x:c>
      <x:c r="O42" s="8">
        <x:v>4</x:v>
      </x:c>
      <x:c r="P42" s="8">
        <x:f t="shared" si="2"/>
        <x:v>8</x:v>
      </x:c>
      <x:c r="Q42" s="8" t="str">
        <x:f t="shared" si="3"/>
        <x:v>MEDIO</x:v>
      </x:c>
      <x:c r="R42" s="7" t="s">
        <x:v>338</x:v>
      </x:c>
      <x:c r="S42" s="7" t="s">
        <x:v>613</x:v>
      </x:c>
      <x:c r="T42" s="7" t="s">
        <x:v>555</x:v>
      </x:c>
      <x:c r="U42" s="7" t="s">
        <x:v>605</x:v>
      </x:c>
      <x:c r="V42" s="7"/>
    </x:row>
    <x:row r="43" ht="90" customHeight="1">
      <x:c r="A43" s="7" t="s">
        <x:v>836</x:v>
      </x:c>
      <x:c r="B43" s="7" t="s">
        <x:v>821</x:v>
      </x:c>
      <x:c r="C43" s="7" t="s">
        <x:v>12</x:v>
      </x:c>
      <x:c r="D43" s="7" t="s">
        <x:v>632</x:v>
      </x:c>
      <x:c r="E43" s="7" t="s">
        <x:v>837</x:v>
      </x:c>
      <x:c r="F43" s="7" t="s">
        <x:v>838</x:v>
      </x:c>
      <x:c r="G43" s="7" t="s">
        <x:v>839</x:v>
      </x:c>
      <x:c r="H43" s="7" t="s">
        <x:v>840</x:v>
      </x:c>
      <x:c r="I43" s="7" t="s">
        <x:v>841</x:v>
      </x:c>
      <x:c r="J43" s="8">
        <x:v>4</x:v>
      </x:c>
      <x:c r="K43" s="8">
        <x:v>5</x:v>
      </x:c>
      <x:c r="L43" s="8">
        <x:f t="shared" si="0"/>
        <x:v>20</x:v>
      </x:c>
      <x:c r="M43" s="8" t="str">
        <x:f t="shared" si="1"/>
        <x:v>CRÍTICO</x:v>
      </x:c>
      <x:c r="N43" s="8">
        <x:v>2</x:v>
      </x:c>
      <x:c r="O43" s="8">
        <x:v>5</x:v>
      </x:c>
      <x:c r="P43" s="8">
        <x:f t="shared" si="2"/>
        <x:v>10</x:v>
      </x:c>
      <x:c r="Q43" s="8" t="str">
        <x:f t="shared" si="3"/>
        <x:v>ALTO</x:v>
      </x:c>
      <x:c r="R43" s="7" t="s">
        <x:v>394</x:v>
      </x:c>
      <x:c r="S43" s="7" t="s">
        <x:v>554</x:v>
      </x:c>
      <x:c r="T43" s="7" t="s">
        <x:v>526</x:v>
      </x:c>
      <x:c r="U43" s="7" t="s">
        <x:v>605</x:v>
      </x:c>
      <x:c r="V43" s="7"/>
    </x:row>
  </x:sheetData>
  <x:mergeCells>
    <x:mergeCell ref="A5:V5"/>
    <x:mergeCell ref="A6:V6"/>
    <x:mergeCell ref="A8:H8"/>
    <x:mergeCell ref="I8:Q8"/>
    <x:mergeCell ref="R8:V8"/>
    <x:mergeCell ref="A1:V1"/>
    <x:mergeCell ref="A2:V2"/>
    <x:mergeCell ref="A3:D3"/>
    <x:mergeCell ref="E3:J3"/>
    <x:mergeCell ref="K3:P3"/>
    <x:mergeCell ref="Q3:V3"/>
  </x:mergeCells>
  <x:conditionalFormatting sqref="M14:M43">
    <x:cfRule type="expression" dxfId="4" priority="1">
      <x:formula>M14="CRÍTICO"</x:formula>
    </x:cfRule>
    <x:cfRule type="expression" dxfId="3" priority="2">
      <x:formula>M14="ALTO"</x:formula>
    </x:cfRule>
  </x:conditionalFormatting>
  <x:conditionalFormatting sqref="Q14:Q43">
    <x:cfRule type="expression" dxfId="2" priority="3">
      <x:formula>Q14="ALTO"</x:formula>
    </x:cfRule>
  </x:conditionalFormatting>
  <x:conditionalFormatting sqref="V14:V43">
    <x:cfRule type="expression" dxfId="1" priority="4">
      <x:formula>V14="BLOQUEANTE"</x:formula>
    </x:cfRule>
  </x:conditionalFormatting>
  <x:dataValidations count="1">
    <x:dataValidation type="list" sqref="U14:U43">
      <x:formula1>"Pendiente,En proceso,Verificado,No conforme,No aplica"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10" defaultColWidth="9" defaultRowHeight="14.25"/>
  <x:cols>
    <x:col min="1" max="1" width="26" customWidth="1"/>
    <x:col min="2" max="2" width="95" customWidth="1"/>
    <x:col min="3" max="3" width="4" customWidth="1"/>
    <x:col min="4" max="4" width="21" customWidth="1"/>
    <x:col min="5" max="5" width="80" customWidth="1"/>
    <x:col min="6" max="8" width="4" customWidth="1"/>
  </x:cols>
  <x:sheetData>
    <x:row r="1" ht="33.95000076293945" customHeight="1">
      <x:c r="A1" s="21" t="s">
        <x:v>842</x:v>
      </x:c>
      <x:c r="B1" s="21"/>
      <x:c r="C1" s="21"/>
      <x:c r="D1" s="21"/>
      <x:c r="E1" s="21"/>
      <x:c r="F1" s="21"/>
      <x:c r="G1" s="21"/>
      <x:c r="H1" s="21"/>
    </x:row>
    <x:row r="2">
      <x:c r="A2" s="22" t="s">
        <x:v>843</x:v>
      </x:c>
      <x:c r="B2" s="22"/>
      <x:c r="C2" s="22"/>
      <x:c r="D2" s="22"/>
      <x:c r="E2" s="22"/>
      <x:c r="F2" s="22"/>
      <x:c r="G2" s="22"/>
      <x:c r="H2" s="22"/>
    </x:row>
    <x:row r="4" ht="15">
      <x:c r="A4" s="5" t="s">
        <x:v>844</x:v>
      </x:c>
      <x:c r="B4" s="5" t="s">
        <x:v>845</x:v>
      </x:c>
      <x:c r="D4" s="5" t="s">
        <x:v>846</x:v>
      </x:c>
      <x:c r="E4" s="5" t="s">
        <x:v>847</x:v>
      </x:c>
    </x:row>
    <x:row r="5" ht="54" customHeight="1">
      <x:c r="A5" s="2" t="s">
        <x:v>848</x:v>
      </x:c>
      <x:c r="B5" s="2" t="s">
        <x:v>849</x:v>
      </x:c>
      <x:c r="C5" s="2"/>
      <x:c r="D5" s="2" t="s">
        <x:v>850</x:v>
      </x:c>
      <x:c r="E5" s="2" t="s">
        <x:v>851</x:v>
      </x:c>
    </x:row>
    <x:row r="6" ht="54" customHeight="1">
      <x:c r="A6" s="2" t="s">
        <x:v>852</x:v>
      </x:c>
      <x:c r="B6" s="2" t="s">
        <x:v>853</x:v>
      </x:c>
      <x:c r="C6" s="2"/>
      <x:c r="D6" s="2" t="s">
        <x:v>854</x:v>
      </x:c>
      <x:c r="E6" s="2" t="s">
        <x:v>855</x:v>
      </x:c>
    </x:row>
    <x:row r="7" ht="54" customHeight="1">
      <x:c r="A7" s="2" t="s">
        <x:v>856</x:v>
      </x:c>
      <x:c r="B7" s="2" t="s">
        <x:v>857</x:v>
      </x:c>
      <x:c r="C7" s="2"/>
      <x:c r="D7" s="2" t="s">
        <x:v>858</x:v>
      </x:c>
      <x:c r="E7" s="2" t="s">
        <x:v>859</x:v>
      </x:c>
    </x:row>
    <x:row r="8" ht="54" customHeight="1">
      <x:c r="A8" s="2" t="s">
        <x:v>860</x:v>
      </x:c>
      <x:c r="B8" s="2" t="s">
        <x:v>861</x:v>
      </x:c>
      <x:c r="C8" s="2"/>
      <x:c r="D8" s="2" t="s">
        <x:v>862</x:v>
      </x:c>
      <x:c r="E8" s="2" t="s">
        <x:v>863</x:v>
      </x:c>
    </x:row>
    <x:row r="9" ht="54" customHeight="1">
      <x:c r="A9" s="2" t="s">
        <x:v>864</x:v>
      </x:c>
      <x:c r="B9" s="2" t="s">
        <x:v>865</x:v>
      </x:c>
      <x:c r="C9" s="2"/>
      <x:c r="D9" s="2" t="s">
        <x:v>652</x:v>
      </x:c>
      <x:c r="E9" s="2" t="s">
        <x:v>866</x:v>
      </x:c>
    </x:row>
    <x:row r="10" ht="54" customHeight="1">
      <x:c r="A10" s="2" t="s">
        <x:v>867</x:v>
      </x:c>
      <x:c r="B10" s="2" t="s">
        <x:v>868</x:v>
      </x:c>
      <x:c r="C10" s="2"/>
      <x:c r="D10" s="2" t="s">
        <x:v>869</x:v>
      </x:c>
      <x:c r="E10" s="2" t="s">
        <x:v>870</x:v>
      </x:c>
    </x:row>
    <x:row r="11" ht="54" customHeight="1">
      <x:c r="A11" s="2" t="s">
        <x:v>871</x:v>
      </x:c>
      <x:c r="B11" s="2" t="s">
        <x:v>872</x:v>
      </x:c>
      <x:c r="C11" s="2"/>
      <x:c r="D11" s="2"/>
      <x:c r="E11" s="2"/>
    </x:row>
    <x:row r="12" ht="54" customHeight="1">
      <x:c r="A12" s="2" t="s">
        <x:v>873</x:v>
      </x:c>
      <x:c r="B12" s="2" t="s">
        <x:v>874</x:v>
      </x:c>
      <x:c r="C12" s="2"/>
      <x:c r="D12" s="2"/>
      <x:c r="E12" s="2"/>
    </x:row>
    <x:row r="13" ht="54" customHeight="1">
      <x:c r="A13" s="2" t="s">
        <x:v>875</x:v>
      </x:c>
      <x:c r="B13" s="2" t="s">
        <x:v>876</x:v>
      </x:c>
      <x:c r="C13" s="2"/>
      <x:c r="D13" s="2"/>
      <x:c r="E13" s="2"/>
    </x:row>
    <x:row r="14" ht="54" customHeight="1">
      <x:c r="A14" s="2" t="s">
        <x:v>877</x:v>
      </x:c>
      <x:c r="B14" s="2" t="s">
        <x:v>878</x:v>
      </x:c>
      <x:c r="C14" s="2"/>
      <x:c r="D14" s="2"/>
      <x:c r="E14" s="2"/>
    </x:row>
    <x:row r="15" ht="54" customHeight="1">
      <x:c r="A15" s="2" t="s">
        <x:v>879</x:v>
      </x:c>
      <x:c r="B15" s="2" t="s">
        <x:v>880</x:v>
      </x:c>
      <x:c r="C15" s="2"/>
      <x:c r="D15" s="2"/>
      <x:c r="E15" s="2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baseColWidth="10" defaultColWidth="9" defaultRowHeight="14.25"/>
  <x:cols>
    <x:col min="1" max="1" width="17" customWidth="1"/>
    <x:col min="2" max="2" width="20" customWidth="1"/>
    <x:col min="3" max="3" width="76" customWidth="1"/>
    <x:col min="4" max="4" width="65" customWidth="1"/>
    <x:col min="5" max="6" width="24" customWidth="1"/>
    <x:col min="7" max="7" width="17" customWidth="1"/>
    <x:col min="8" max="8" width="19" customWidth="1"/>
  </x:cols>
  <x:sheetData>
    <x:row r="1" ht="35.099998474121094" customHeight="1">
      <x:c r="A1" s="21" t="s">
        <x:v>881</x:v>
      </x:c>
      <x:c r="B1" s="21"/>
      <x:c r="C1" s="21"/>
      <x:c r="D1" s="21"/>
      <x:c r="E1" s="21"/>
      <x:c r="F1" s="21"/>
      <x:c r="G1" s="21"/>
      <x:c r="H1" s="21"/>
    </x:row>
    <x:row r="2" ht="24.950000762939453" customHeight="1">
      <x:c r="A2" s="23" t="s">
        <x:v>882</x:v>
      </x:c>
      <x:c r="B2" s="23"/>
      <x:c r="C2" s="23"/>
      <x:c r="D2" s="23"/>
      <x:c r="E2" s="23"/>
      <x:c r="F2" s="23"/>
      <x:c r="G2" s="23"/>
      <x:c r="H2" s="23"/>
    </x:row>
    <x:row r="4" ht="39.95000076293945" customHeight="1">
      <x:c r="A4" s="9" t="s">
        <x:v>883</x:v>
      </x:c>
      <x:c r="B4" s="9" t="s">
        <x:v>884</x:v>
      </x:c>
      <x:c r="C4" s="9" t="s">
        <x:v>885</x:v>
      </x:c>
      <x:c r="D4" s="9" t="s">
        <x:v>886</x:v>
      </x:c>
      <x:c r="E4" s="9" t="s">
        <x:v>18</x:v>
      </x:c>
      <x:c r="F4" s="9" t="s">
        <x:v>887</x:v>
      </x:c>
      <x:c r="G4" s="9" t="s">
        <x:v>22</x:v>
      </x:c>
      <x:c r="H4" s="9" t="s">
        <x:v>888</x:v>
      </x:c>
    </x:row>
    <x:row r="5" ht="65.0999984741211" customHeight="1">
      <x:c r="A5" s="7" t="s">
        <x:v>889</x:v>
      </x:c>
      <x:c r="B5" s="7" t="s">
        <x:v>890</x:v>
      </x:c>
      <x:c r="C5" s="7" t="s">
        <x:v>891</x:v>
      </x:c>
      <x:c r="D5" s="7" t="s">
        <x:v>892</x:v>
      </x:c>
      <x:c r="E5" s="7" t="s">
        <x:v>893</x:v>
      </x:c>
      <x:c r="F5" s="7" t="s">
        <x:v>894</x:v>
      </x:c>
      <x:c r="G5" s="7" t="s">
        <x:v>605</x:v>
      </x:c>
      <x:c r="H5" s="7" t="s">
        <x:v>652</x:v>
      </x:c>
    </x:row>
    <x:row r="6" ht="65.0999984741211" customHeight="1">
      <x:c r="A6" s="7" t="s">
        <x:v>895</x:v>
      </x:c>
      <x:c r="B6" s="7" t="s">
        <x:v>368</x:v>
      </x:c>
      <x:c r="C6" s="7" t="s">
        <x:v>896</x:v>
      </x:c>
      <x:c r="D6" s="7" t="s">
        <x:v>897</x:v>
      </x:c>
      <x:c r="E6" s="7" t="s">
        <x:v>746</x:v>
      </x:c>
      <x:c r="F6" s="7" t="s">
        <x:v>894</x:v>
      </x:c>
      <x:c r="G6" s="7" t="s">
        <x:v>605</x:v>
      </x:c>
      <x:c r="H6" s="7" t="s">
        <x:v>652</x:v>
      </x:c>
    </x:row>
    <x:row r="7" ht="65.0999984741211" customHeight="1">
      <x:c r="A7" s="7" t="s">
        <x:v>898</x:v>
      </x:c>
      <x:c r="B7" s="7" t="s">
        <x:v>206</x:v>
      </x:c>
      <x:c r="C7" s="7" t="s">
        <x:v>899</x:v>
      </x:c>
      <x:c r="D7" s="7" t="s">
        <x:v>900</x:v>
      </x:c>
      <x:c r="E7" s="7" t="s">
        <x:v>773</x:v>
      </x:c>
      <x:c r="F7" s="7" t="s">
        <x:v>901</x:v>
      </x:c>
      <x:c r="G7" s="7" t="s">
        <x:v>605</x:v>
      </x:c>
      <x:c r="H7" s="7" t="s">
        <x:v>652</x:v>
      </x:c>
    </x:row>
    <x:row r="8" ht="65.0999984741211" customHeight="1">
      <x:c r="A8" s="7" t="s">
        <x:v>902</x:v>
      </x:c>
      <x:c r="B8" s="7" t="s">
        <x:v>244</x:v>
      </x:c>
      <x:c r="C8" s="7" t="s">
        <x:v>903</x:v>
      </x:c>
      <x:c r="D8" s="7" t="s">
        <x:v>904</x:v>
      </x:c>
      <x:c r="E8" s="7" t="s">
        <x:v>639</x:v>
      </x:c>
      <x:c r="F8" s="7" t="s">
        <x:v>905</x:v>
      </x:c>
      <x:c r="G8" s="7" t="s">
        <x:v>605</x:v>
      </x:c>
      <x:c r="H8" s="7" t="s">
        <x:v>652</x:v>
      </x:c>
    </x:row>
    <x:row r="9" ht="65.0999984741211" customHeight="1">
      <x:c r="A9" s="7" t="s">
        <x:v>906</x:v>
      </x:c>
      <x:c r="B9" s="7" t="s">
        <x:v>253</x:v>
      </x:c>
      <x:c r="C9" s="7" t="s">
        <x:v>907</x:v>
      </x:c>
      <x:c r="D9" s="7" t="s">
        <x:v>908</x:v>
      </x:c>
      <x:c r="E9" s="7" t="s">
        <x:v>773</x:v>
      </x:c>
      <x:c r="F9" s="7" t="s">
        <x:v>901</x:v>
      </x:c>
      <x:c r="G9" s="7" t="s">
        <x:v>605</x:v>
      </x:c>
      <x:c r="H9" s="7" t="s">
        <x:v>652</x:v>
      </x:c>
    </x:row>
    <x:row r="10" ht="65.0999984741211" customHeight="1">
      <x:c r="A10" s="7" t="s">
        <x:v>909</x:v>
      </x:c>
      <x:c r="B10" s="7" t="s">
        <x:v>301</x:v>
      </x:c>
      <x:c r="C10" s="7" t="s">
        <x:v>910</x:v>
      </x:c>
      <x:c r="D10" s="7" t="s">
        <x:v>911</x:v>
      </x:c>
      <x:c r="E10" s="7" t="s">
        <x:v>803</x:v>
      </x:c>
      <x:c r="F10" s="7" t="s">
        <x:v>905</x:v>
      </x:c>
      <x:c r="G10" s="7" t="s">
        <x:v>605</x:v>
      </x:c>
      <x:c r="H10" s="7" t="s">
        <x:v>652</x:v>
      </x:c>
    </x:row>
    <x:row r="11" ht="65.0999984741211" customHeight="1">
      <x:c r="A11" s="7" t="s">
        <x:v>912</x:v>
      </x:c>
      <x:c r="B11" s="7" t="s">
        <x:v>310</x:v>
      </x:c>
      <x:c r="C11" s="7" t="s">
        <x:v>913</x:v>
      </x:c>
      <x:c r="D11" s="7" t="s">
        <x:v>914</x:v>
      </x:c>
      <x:c r="E11" s="7" t="s">
        <x:v>803</x:v>
      </x:c>
      <x:c r="F11" s="7" t="s">
        <x:v>915</x:v>
      </x:c>
      <x:c r="G11" s="7" t="s">
        <x:v>605</x:v>
      </x:c>
      <x:c r="H11" s="7" t="s">
        <x:v>652</x:v>
      </x:c>
    </x:row>
    <x:row r="12" ht="65.0999984741211" customHeight="1">
      <x:c r="A12" s="7" t="s">
        <x:v>916</x:v>
      </x:c>
      <x:c r="B12" s="7" t="s">
        <x:v>338</x:v>
      </x:c>
      <x:c r="C12" s="7" t="s">
        <x:v>917</x:v>
      </x:c>
      <x:c r="D12" s="7" t="s">
        <x:v>918</x:v>
      </x:c>
      <x:c r="E12" s="7" t="s">
        <x:v>613</x:v>
      </x:c>
      <x:c r="F12" s="7" t="s">
        <x:v>894</x:v>
      </x:c>
      <x:c r="G12" s="7" t="s">
        <x:v>605</x:v>
      </x:c>
      <x:c r="H12" s="7" t="s">
        <x:v>919</x:v>
      </x:c>
    </x:row>
    <x:row r="13" ht="65.0999984741211" customHeight="1">
      <x:c r="A13" s="7" t="s">
        <x:v>920</x:v>
      </x:c>
      <x:c r="B13" s="7" t="s">
        <x:v>338</x:v>
      </x:c>
      <x:c r="C13" s="7" t="s">
        <x:v>921</x:v>
      </x:c>
      <x:c r="D13" s="7" t="s">
        <x:v>922</x:v>
      </x:c>
      <x:c r="E13" s="7" t="s">
        <x:v>639</x:v>
      </x:c>
      <x:c r="F13" s="7" t="s">
        <x:v>923</x:v>
      </x:c>
      <x:c r="G13" s="7" t="s">
        <x:v>605</x:v>
      </x:c>
      <x:c r="H13" s="7" t="s">
        <x:v>919</x:v>
      </x:c>
    </x:row>
    <x:row r="14" ht="65.0999984741211" customHeight="1">
      <x:c r="A14" s="7" t="s">
        <x:v>924</x:v>
      </x:c>
      <x:c r="B14" s="7" t="s">
        <x:v>394</x:v>
      </x:c>
      <x:c r="C14" s="7" t="s">
        <x:v>925</x:v>
      </x:c>
      <x:c r="D14" s="7" t="s">
        <x:v>926</x:v>
      </x:c>
      <x:c r="E14" s="7" t="s">
        <x:v>927</x:v>
      </x:c>
      <x:c r="F14" s="7" t="s">
        <x:v>915</x:v>
      </x:c>
      <x:c r="G14" s="7" t="s">
        <x:v>605</x:v>
      </x:c>
      <x:c r="H14" s="7" t="s">
        <x:v>652</x:v>
      </x:c>
    </x:row>
    <x:row r="15" ht="65.0999984741211" customHeight="1">
      <x:c r="A15" s="7" t="s">
        <x:v>928</x:v>
      </x:c>
      <x:c r="B15" s="7" t="s">
        <x:v>301</x:v>
      </x:c>
      <x:c r="C15" s="7" t="s">
        <x:v>929</x:v>
      </x:c>
      <x:c r="D15" s="7" t="s">
        <x:v>930</x:v>
      </x:c>
      <x:c r="E15" s="7" t="s">
        <x:v>639</x:v>
      </x:c>
      <x:c r="F15" s="7" t="s">
        <x:v>923</x:v>
      </x:c>
      <x:c r="G15" s="7" t="s">
        <x:v>605</x:v>
      </x:c>
      <x:c r="H15" s="7" t="s">
        <x:v>919</x:v>
      </x:c>
    </x:row>
    <x:row r="16" ht="65.0999984741211" customHeight="1">
      <x:c r="A16" s="7" t="s">
        <x:v>931</x:v>
      </x:c>
      <x:c r="B16" s="7" t="s">
        <x:v>368</x:v>
      </x:c>
      <x:c r="C16" s="7" t="s">
        <x:v>932</x:v>
      </x:c>
      <x:c r="D16" s="7" t="s">
        <x:v>933</x:v>
      </x:c>
      <x:c r="E16" s="7" t="s">
        <x:v>754</x:v>
      </x:c>
      <x:c r="F16" s="7" t="s">
        <x:v>923</x:v>
      </x:c>
      <x:c r="G16" s="7" t="s">
        <x:v>605</x:v>
      </x:c>
      <x:c r="H16" s="7" t="s">
        <x:v>919</x:v>
      </x:c>
    </x:row>
  </x:sheetData>
  <x:mergeCells>
    <x:mergeCell ref="A1:H1"/>
    <x:mergeCell ref="A2:H2"/>
  </x:mergeCells>
  <x:conditionalFormatting sqref="H5:H16">
    <x:cfRule type="expression" dxfId="0" priority="1">
      <x:formula>H5="BLOQUEANTE"</x:formula>
    </x:cfRule>
  </x:conditionalFormatting>
  <x:dataValidations count="1">
    <x:dataValidation type="list" sqref="G5:G16">
      <x:formula1>"Pendiente,En proceso,Verificado,No conforme,No aplica"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22" hidden="0" customWidth="1"/>
    <x:col min="4" max="4" width="40" hidden="0" customWidth="1"/>
    <x:col min="5" max="5" width="45" hidden="0" customWidth="1"/>
    <x:col min="6" max="6" width="45" hidden="0" customWidth="1"/>
    <x:col min="7" max="7" width="15" hidden="0" customWidth="1"/>
    <x:col min="8" max="8" width="13" hidden="0" customWidth="1"/>
    <x:col min="9" max="9" width="17" hidden="0" customWidth="1"/>
    <x:col min="10" max="10" width="62" hidden="0" customWidth="1"/>
  </x:cols>
  <x:sheetData>
    <x:row r="1" ht="35" customHeight="1">
      <x:c r="A1" s="47" t="str">
        <x:v>MATRIZ HAZOP — HORNO ELÉCTRICO CON PLC SIEMENS S7-1200</x:v>
      </x:c>
      <x:c r="B1" s="47"/>
      <x:c r="C1" s="47"/>
      <x:c r="D1" s="47"/>
      <x:c r="E1" s="47"/>
      <x:c r="F1" s="47"/>
      <x:c r="G1" s="47"/>
      <x:c r="H1" s="47"/>
      <x:c r="I1" s="47"/>
      <x:c r="J1" s="47"/>
    </x:row>
    <x:row r="2" ht="25" customHeight="1">
      <x:c r="A2" s="52" t="str">
        <x:v>16 nodos × 9 palabras guía = 144 desviaciones | Revisión preliminar | Documento de análisis, NO autorización de operación</x:v>
      </x:c>
      <x:c r="B2" s="52"/>
      <x:c r="C2" s="52"/>
      <x:c r="D2" s="52"/>
      <x:c r="E2" s="52"/>
      <x:c r="F2" s="52"/>
      <x:c r="G2" s="52"/>
      <x:c r="H2" s="52"/>
      <x:c r="I2" s="52"/>
      <x:c r="J2" s="52"/>
    </x:row>
    <x:row r="3" ht="25" customHeight="1">
      <x:c r="A3" s="52" t="str">
        <x:v>Base: IPERC de línea base y diseño del prototipo | P y S: escala 1–5 | Riesgo = P × S | Criterios: bajo 1–4, medio 5–9, alto 10–16, crítico 17–25</x:v>
      </x:c>
      <x:c r="B3" s="52"/>
      <x:c r="C3" s="52"/>
      <x:c r="D3" s="52"/>
      <x:c r="E3" s="52"/>
      <x:c r="F3" s="52"/>
      <x:c r="G3" s="52"/>
      <x:c r="H3" s="52"/>
      <x:c r="I3" s="52"/>
      <x:c r="J3" s="52"/>
    </x:row>
    <x:row r="4" ht="30" customHeight="1">
      <x:c r="A4" s="56" t="str">
        <x:v>BLOQUEO: NO realizar curado con barniz ni ensayos energizados inseguros hasta verificar protecciones, FDS, ignición, ventilación y funciones independientes de corte.</x:v>
      </x:c>
      <x:c r="B4" s="56"/>
      <x:c r="C4" s="56"/>
      <x:c r="D4" s="56"/>
      <x:c r="E4" s="56"/>
      <x:c r="F4" s="56"/>
      <x:c r="G4" s="56"/>
      <x:c r="H4" s="56"/>
      <x:c r="I4" s="56"/>
      <x:c r="J4" s="56"/>
    </x:row>
    <x:row r="6" ht="35" customHeight="1">
      <x:c r="A6" s="62" t="str">
        <x:v>Nodo</x:v>
      </x:c>
      <x:c r="B6" s="62" t="str">
        <x:v>Palabra guía</x:v>
      </x:c>
      <x:c r="C6" s="62" t="str">
        <x:v>Variable</x:v>
      </x:c>
      <x:c r="D6" s="62" t="str">
        <x:v>Desviación</x:v>
      </x:c>
      <x:c r="E6" s="62" t="str">
        <x:v>Causa</x:v>
      </x:c>
      <x:c r="F6" s="62" t="str">
        <x:v>Consecuencia</x:v>
      </x:c>
      <x:c r="G6" s="62" t="str">
        <x:v>Probabilidad</x:v>
      </x:c>
      <x:c r="H6" s="62" t="str">
        <x:v>Severidad</x:v>
      </x:c>
      <x:c r="I6" s="62" t="str">
        <x:v>Riesgo (P×S)</x:v>
      </x:c>
      <x:c r="J6" s="62" t="str">
        <x:v>Acciones a tomar</x:v>
      </x:c>
    </x:row>
    <x:row r="7" ht="59" customHeight="1">
      <x:c r="A7" s="74" t="str">
        <x:v>N01 · Alimentación general</x:v>
      </x:c>
      <x:c r="B7" s="70" t="str">
        <x:v>NO</x:v>
      </x:c>
      <x:c r="C7" s="70" t="str">
        <x:v>Energía eléctrica</x:v>
      </x:c>
      <x:c r="D7" s="70" t="str">
        <x:v>Ausencia de alimentación de 220 VCA</x:v>
      </x:c>
      <x:c r="E7" s="70" t="str">
        <x:v>Corte de red o QF-01 abierto</x:v>
      </x:c>
      <x:c r="F7" s="70" t="str">
        <x:v>Ciclo interrumpido; pérdida de calefacción y control</x:v>
      </x:c>
      <x:c r="G7" s="71" t="n">
        <x:v>2</x:v>
      </x:c>
      <x:c r="H7" s="71" t="n">
        <x:v>3</x:v>
      </x:c>
      <x:c r="I7" s="71" t="n">
        <x:f>G7*H7</x:f>
        <x:v>6</x:v>
      </x:c>
      <x:c r="J7" s="70" t="str">
        <x:v>Verificar condición sin tensión; asegurar apagado y reinicio manual</x:v>
      </x:c>
    </x:row>
    <x:row r="8" ht="59" customHeight="1">
      <x:c r="A8" s="75" t="str">
        <x:v>N01 · Alimentación general</x:v>
      </x:c>
      <x:c r="B8" s="67" t="str">
        <x:v>MÁS</x:v>
      </x:c>
      <x:c r="C8" s="67" t="str">
        <x:v>Energía eléctrica</x:v>
      </x:c>
      <x:c r="D8" s="67" t="str">
        <x:v>Sobretensión en acometida</x:v>
      </x:c>
      <x:c r="E8" s="67" t="str">
        <x:v>Perturbación o conexión inadecuada</x:v>
      </x:c>
      <x:c r="F8" s="67" t="str">
        <x:v>Daño de fuente, SSR y equipos; incendio</x:v>
      </x:c>
      <x:c r="G8" s="68" t="n">
        <x:v>2</x:v>
      </x:c>
      <x:c r="H8" s="68" t="n">
        <x:v>5</x:v>
      </x:c>
      <x:c r="I8" s="68" t="n">
        <x:f>G8*H8</x:f>
        <x:v>10</x:v>
      </x:c>
      <x:c r="J8" s="67" t="str">
        <x:v>Comprobar tensión nominal y coordinación de protecciones</x:v>
      </x:c>
    </x:row>
    <x:row r="9" ht="59" customHeight="1">
      <x:c r="A9" s="75" t="str">
        <x:v>N01 · Alimentación general</x:v>
      </x:c>
      <x:c r="B9" s="67" t="str">
        <x:v>MENOS</x:v>
      </x:c>
      <x:c r="C9" s="67" t="str">
        <x:v>Energía eléctrica</x:v>
      </x:c>
      <x:c r="D9" s="67" t="str">
        <x:v>Tensión insuficiente</x:v>
      </x:c>
      <x:c r="E9" s="67" t="str">
        <x:v>Caída de tensión o conductores subdimensionados</x:v>
      </x:c>
      <x:c r="F9" s="67" t="str">
        <x:v>Funcionamiento errático de fuente y automatización</x:v>
      </x:c>
      <x:c r="G9" s="68" t="n">
        <x:v>3</x:v>
      </x:c>
      <x:c r="H9" s="68" t="n">
        <x:v>3</x:v>
      </x:c>
      <x:c r="I9" s="68" t="n">
        <x:f>G9*H9</x:f>
        <x:v>9</x:v>
      </x:c>
      <x:c r="J9" s="67" t="str">
        <x:v>Dimensionar conductores y verificar tensión bajo carga</x:v>
      </x:c>
    </x:row>
    <x:row r="10" ht="59" customHeight="1">
      <x:c r="A10" s="75" t="str">
        <x:v>N01 · Alimentación general</x:v>
      </x:c>
      <x:c r="B10" s="67" t="str">
        <x:v>INVERSO</x:v>
      </x:c>
      <x:c r="C10" s="67" t="str">
        <x:v>Energía eléctrica</x:v>
      </x:c>
      <x:c r="D10" s="67" t="str">
        <x:v>Polaridad o conexión L/N incorrecta</x:v>
      </x:c>
      <x:c r="E10" s="67" t="str">
        <x:v>Error de montaje</x:v>
      </x:c>
      <x:c r="F10" s="67" t="str">
        <x:v>Riesgo de contacto e incorrecta desconexión</x:v>
      </x:c>
      <x:c r="G10" s="68" t="n">
        <x:v>2</x:v>
      </x:c>
      <x:c r="H10" s="68" t="n">
        <x:v>4</x:v>
      </x:c>
      <x:c r="I10" s="68" t="n">
        <x:f>G10*H10</x:f>
        <x:v>8</x:v>
      </x:c>
      <x:c r="J10" s="67" t="str">
        <x:v>Verificar identificación L/N y aislamiento de polos conforme diseño</x:v>
      </x:c>
    </x:row>
    <x:row r="11" ht="59" customHeight="1">
      <x:c r="A11" s="75" t="str">
        <x:v>N01 · Alimentación general</x:v>
      </x:c>
      <x:c r="B11" s="67" t="str">
        <x:v>ADEMÁS DE</x:v>
      </x:c>
      <x:c r="C11" s="67" t="str">
        <x:v>Energía eléctrica</x:v>
      </x:c>
      <x:c r="D11" s="67" t="str">
        <x:v>Alimentación con transitorios y ruido</x:v>
      </x:c>
      <x:c r="E11" s="67" t="str">
        <x:v>Conmutación de cargas o perturbaciones</x:v>
      </x:c>
      <x:c r="F11" s="67" t="str">
        <x:v>Reinicio inesperado del PLC y fallas electrónicas</x:v>
      </x:c>
      <x:c r="G11" s="68" t="n">
        <x:v>3</x:v>
      </x:c>
      <x:c r="H11" s="68" t="n">
        <x:v>3</x:v>
      </x:c>
      <x:c r="I11" s="68" t="n">
        <x:f>G11*H11</x:f>
        <x:v>9</x:v>
      </x:c>
      <x:c r="J11" s="67" t="str">
        <x:v>Verificar calidad de energía y supresión de perturbaciones</x:v>
      </x:c>
    </x:row>
    <x:row r="12" ht="59" customHeight="1">
      <x:c r="A12" s="75" t="str">
        <x:v>N01 · Alimentación general</x:v>
      </x:c>
      <x:c r="B12" s="67" t="str">
        <x:v>PARTE DE</x:v>
      </x:c>
      <x:c r="C12" s="67" t="str">
        <x:v>Energía eléctrica</x:v>
      </x:c>
      <x:c r="D12" s="67" t="str">
        <x:v>Energía parcial a ramales</x:v>
      </x:c>
      <x:c r="E12" s="67" t="str">
        <x:v>Borne flojo o polo abierto</x:v>
      </x:c>
      <x:c r="F12" s="67" t="str">
        <x:v>Pérdida de protecciones o subsistemas</x:v>
      </x:c>
      <x:c r="G12" s="68" t="n">
        <x:v>3</x:v>
      </x:c>
      <x:c r="H12" s="68" t="n">
        <x:v>4</x:v>
      </x:c>
      <x:c r="I12" s="68" t="n">
        <x:f>G12*H12</x:f>
        <x:v>12</x:v>
      </x:c>
      <x:c r="J12" s="67" t="str">
        <x:v>Inspeccionar bornes y probar suministro a cada rama</x:v>
      </x:c>
    </x:row>
    <x:row r="13" ht="59" customHeight="1">
      <x:c r="A13" s="75" t="str">
        <x:v>N01 · Alimentación general</x:v>
      </x:c>
      <x:c r="B13" s="67" t="str">
        <x:v>OTRO QUE</x:v>
      </x:c>
      <x:c r="C13" s="67" t="str">
        <x:v>Energía eléctrica</x:v>
      </x:c>
      <x:c r="D13" s="67" t="str">
        <x:v>Alimentación de circuito equivocado</x:v>
      </x:c>
      <x:c r="E13" s="67" t="str">
        <x:v>Etiquetado incorrecto o conexión cruzada</x:v>
      </x:c>
      <x:c r="F13" s="67" t="str">
        <x:v>Energización imprevista de un equipo</x:v>
      </x:c>
      <x:c r="G13" s="68" t="n">
        <x:v>2</x:v>
      </x:c>
      <x:c r="H13" s="68" t="n">
        <x:v>4</x:v>
      </x:c>
      <x:c r="I13" s="68" t="n">
        <x:f>G13*H13</x:f>
        <x:v>8</x:v>
      </x:c>
      <x:c r="J13" s="67" t="str">
        <x:v>Trazar circuitos, rotular y realizar I/O check antes de energizar</x:v>
      </x:c>
    </x:row>
    <x:row r="14" ht="59" customHeight="1">
      <x:c r="A14" s="75" t="str">
        <x:v>N01 · Alimentación general</x:v>
      </x:c>
      <x:c r="B14" s="67" t="str">
        <x:v>ANTES</x:v>
      </x:c>
      <x:c r="C14" s="67" t="str">
        <x:v>Energía eléctrica</x:v>
      </x:c>
      <x:c r="D14" s="67" t="str">
        <x:v>Energización antes de inspección</x:v>
      </x:c>
      <x:c r="E14" s="67" t="str">
        <x:v>Ejecución de pruebas sin liberación</x:v>
      </x:c>
      <x:c r="F14" s="67" t="str">
        <x:v>Choque eléctrico, incendio o movimiento imprevisto</x:v>
      </x:c>
      <x:c r="G14" s="68" t="n">
        <x:v>3</x:v>
      </x:c>
      <x:c r="H14" s="68" t="n">
        <x:v>5</x:v>
      </x:c>
      <x:c r="I14" s="68" t="n">
        <x:f>G14*H14</x:f>
        <x:v>15</x:v>
      </x:c>
      <x:c r="J14" s="67" t="str">
        <x:v>Aplicar autorización previa, LOTO e inspección eléctrica</x:v>
      </x:c>
    </x:row>
    <x:row r="15" ht="59" customHeight="1">
      <x:c r="A15" s="75" t="str">
        <x:v>N01 · Alimentación general</x:v>
      </x:c>
      <x:c r="B15" s="67" t="str">
        <x:v>DESPUÉS</x:v>
      </x:c>
      <x:c r="C15" s="67" t="str">
        <x:v>Energía eléctrica</x:v>
      </x:c>
      <x:c r="D15" s="67" t="str">
        <x:v>Energía retorna tras una falla</x:v>
      </x:c>
      <x:c r="E15" s="67" t="str">
        <x:v>Reposición automática de red</x:v>
      </x:c>
      <x:c r="F15" s="67" t="str">
        <x:v>Reinicio de calefacción sin autorización</x:v>
      </x:c>
      <x:c r="G15" s="68" t="n">
        <x:v>3</x:v>
      </x:c>
      <x:c r="H15" s="68" t="n">
        <x:v>5</x:v>
      </x:c>
      <x:c r="I15" s="68" t="n">
        <x:f>G15*H15</x:f>
        <x:v>15</x:v>
      </x:c>
      <x:c r="J15" s="67" t="str">
        <x:v>Exigir rearme e inicio manual tras retorno de energía</x:v>
      </x:c>
    </x:row>
    <x:row r="16" ht="59" customHeight="1">
      <x:c r="A16" s="74" t="str">
        <x:v>N02 · Protección de sobrecorriente</x:v>
      </x:c>
      <x:c r="B16" s="70" t="str">
        <x:v>NO</x:v>
      </x:c>
      <x:c r="C16" s="70" t="str">
        <x:v>Corriente eléctrica</x:v>
      </x:c>
      <x:c r="D16" s="70" t="str">
        <x:v>No actúa ante cortocircuito</x:v>
      </x:c>
      <x:c r="E16" s="70" t="str">
        <x:v>Protección inadecuada o puenteada</x:v>
      </x:c>
      <x:c r="F16" s="70" t="str">
        <x:v>Daño de cables e incendio</x:v>
      </x:c>
      <x:c r="G16" s="71" t="n">
        <x:v>2</x:v>
      </x:c>
      <x:c r="H16" s="71" t="n">
        <x:v>5</x:v>
      </x:c>
      <x:c r="I16" s="71" t="n">
        <x:f>G16*H16</x:f>
        <x:v>10</x:v>
      </x:c>
      <x:c r="J16" s="70" t="str">
        <x:v>Verificar capacidad de corte, calibración y coordinación QF-01/QF-02</x:v>
      </x:c>
    </x:row>
    <x:row r="17" ht="59" customHeight="1">
      <x:c r="A17" s="75" t="str">
        <x:v>N02 · Protección de sobrecorriente</x:v>
      </x:c>
      <x:c r="B17" s="67" t="str">
        <x:v>MÁS</x:v>
      </x:c>
      <x:c r="C17" s="67" t="str">
        <x:v>Corriente eléctrica</x:v>
      </x:c>
      <x:c r="D17" s="67" t="str">
        <x:v>Corriente mayor que la admisible</x:v>
      </x:c>
      <x:c r="E17" s="67" t="str">
        <x:v>Corto parcial o sobrecarga</x:v>
      </x:c>
      <x:c r="F17" s="67" t="str">
        <x:v>Calentamiento de conductores</x:v>
      </x:c>
      <x:c r="G17" s="68" t="n">
        <x:v>3</x:v>
      </x:c>
      <x:c r="H17" s="68" t="n">
        <x:v>4</x:v>
      </x:c>
      <x:c r="I17" s="68" t="n">
        <x:f>G17*H17</x:f>
        <x:v>12</x:v>
      </x:c>
      <x:c r="J17" s="67" t="str">
        <x:v>Dimensionar sección, protección y carga real; ensayar sin barniz</x:v>
      </x:c>
    </x:row>
    <x:row r="18" ht="59" customHeight="1">
      <x:c r="A18" s="75" t="str">
        <x:v>N02 · Protección de sobrecorriente</x:v>
      </x:c>
      <x:c r="B18" s="67" t="str">
        <x:v>MENOS</x:v>
      </x:c>
      <x:c r="C18" s="67" t="str">
        <x:v>Corriente eléctrica</x:v>
      </x:c>
      <x:c r="D18" s="67" t="str">
        <x:v>Disparo con corriente de servicio</x:v>
      </x:c>
      <x:c r="E18" s="67" t="str">
        <x:v>Inrush halógenas y curva inadecuada</x:v>
      </x:c>
      <x:c r="F18" s="67" t="str">
        <x:v>Paradas intempestivas y reinicios frecuentes</x:v>
      </x:c>
      <x:c r="G18" s="68" t="n">
        <x:v>3</x:v>
      </x:c>
      <x:c r="H18" s="68" t="n">
        <x:v>3</x:v>
      </x:c>
      <x:c r="I18" s="68" t="n">
        <x:f>G18*H18</x:f>
        <x:v>9</x:v>
      </x:c>
      <x:c r="J18" s="67" t="str">
        <x:v>Revisar corriente de conexión y curva QF-02</x:v>
      </x:c>
    </x:row>
    <x:row r="19" ht="59" customHeight="1">
      <x:c r="A19" s="75" t="str">
        <x:v>N02 · Protección de sobrecorriente</x:v>
      </x:c>
      <x:c r="B19" s="67" t="str">
        <x:v>INVERSO</x:v>
      </x:c>
      <x:c r="C19" s="67" t="str">
        <x:v>Corriente eléctrica</x:v>
      </x:c>
      <x:c r="D19" s="67" t="str">
        <x:v>Corriente por trayecto no previsto</x:v>
      </x:c>
      <x:c r="E19" s="67" t="str">
        <x:v>Cableado en derivación o bypass</x:v>
      </x:c>
      <x:c r="F19" s="67" t="str">
        <x:v>Protección ineficaz y choque eléctrico</x:v>
      </x:c>
      <x:c r="G19" s="68" t="n">
        <x:v>2</x:v>
      </x:c>
      <x:c r="H19" s="68" t="n">
        <x:v>5</x:v>
      </x:c>
      <x:c r="I19" s="68" t="n">
        <x:f>G19*H19</x:f>
        <x:v>10</x:v>
      </x:c>
      <x:c r="J19" s="67" t="str">
        <x:v>Inspeccionar el unifilar y ausencia de puentes</x:v>
      </x:c>
    </x:row>
    <x:row r="20" ht="59" customHeight="1">
      <x:c r="A20" s="75" t="str">
        <x:v>N02 · Protección de sobrecorriente</x:v>
      </x:c>
      <x:c r="B20" s="67" t="str">
        <x:v>ADEMÁS DE</x:v>
      </x:c>
      <x:c r="C20" s="67" t="str">
        <x:v>Corriente eléctrica</x:v>
      </x:c>
      <x:c r="D20" s="67" t="str">
        <x:v>Sobrecorriente con conexiones calientes</x:v>
      </x:c>
      <x:c r="E20" s="67" t="str">
        <x:v>Apriete deficiente de bornes</x:v>
      </x:c>
      <x:c r="F20" s="67" t="str">
        <x:v>Arco eléctrico e incendio</x:v>
      </x:c>
      <x:c r="G20" s="68" t="n">
        <x:v>3</x:v>
      </x:c>
      <x:c r="H20" s="68" t="n">
        <x:v>5</x:v>
      </x:c>
      <x:c r="I20" s="68" t="n">
        <x:f>G20*H20</x:f>
        <x:v>15</x:v>
      </x:c>
      <x:c r="J20" s="67" t="str">
        <x:v>Verificar torque, termografía cuando proceda y protecciones</x:v>
      </x:c>
    </x:row>
    <x:row r="21" ht="59" customHeight="1">
      <x:c r="A21" s="75" t="str">
        <x:v>N02 · Protección de sobrecorriente</x:v>
      </x:c>
      <x:c r="B21" s="67" t="str">
        <x:v>PARTE DE</x:v>
      </x:c>
      <x:c r="C21" s="67" t="str">
        <x:v>Corriente eléctrica</x:v>
      </x:c>
      <x:c r="D21" s="67" t="str">
        <x:v>Solo parte de la carga protegida</x:v>
      </x:c>
      <x:c r="E21" s="67" t="str">
        <x:v>Ramales sin protección selectiva</x:v>
      </x:c>
      <x:c r="F21" s="67" t="str">
        <x:v>Falla de control con propagación de daño</x:v>
      </x:c>
      <x:c r="G21" s="68" t="n">
        <x:v>3</x:v>
      </x:c>
      <x:c r="H21" s="68" t="n">
        <x:v>4</x:v>
      </x:c>
      <x:c r="I21" s="68" t="n">
        <x:f>G21*H21</x:f>
        <x:v>12</x:v>
      </x:c>
      <x:c r="J21" s="67" t="str">
        <x:v>Proteger derivación de PS-01 y salidas 24 VCC según diseño</x:v>
      </x:c>
    </x:row>
    <x:row r="22" ht="59" customHeight="1">
      <x:c r="A22" s="75" t="str">
        <x:v>N02 · Protección de sobrecorriente</x:v>
      </x:c>
      <x:c r="B22" s="67" t="str">
        <x:v>OTRO QUE</x:v>
      </x:c>
      <x:c r="C22" s="67" t="str">
        <x:v>Corriente eléctrica</x:v>
      </x:c>
      <x:c r="D22" s="67" t="str">
        <x:v>Calibre instalado distinto al especificado</x:v>
      </x:c>
      <x:c r="E22" s="67" t="str">
        <x:v>Sustitución sin revisión</x:v>
      </x:c>
      <x:c r="F22" s="67" t="str">
        <x:v>Pérdida de coordinación</x:v>
      </x:c>
      <x:c r="G22" s="68" t="n">
        <x:v>3</x:v>
      </x:c>
      <x:c r="H22" s="68" t="n">
        <x:v>4</x:v>
      </x:c>
      <x:c r="I22" s="68" t="n">
        <x:f>G22*H22</x:f>
        <x:v>12</x:v>
      </x:c>
      <x:c r="J22" s="67" t="str">
        <x:v>Registrar cambios de BOM y validar ajustes</x:v>
      </x:c>
    </x:row>
    <x:row r="23" ht="59" customHeight="1">
      <x:c r="A23" s="75" t="str">
        <x:v>N02 · Protección de sobrecorriente</x:v>
      </x:c>
      <x:c r="B23" s="67" t="str">
        <x:v>ANTES</x:v>
      </x:c>
      <x:c r="C23" s="67" t="str">
        <x:v>Corriente eléctrica</x:v>
      </x:c>
      <x:c r="D23" s="67" t="str">
        <x:v>Protecciones instaladas después de prueba</x:v>
      </x:c>
      <x:c r="E23" s="67" t="str">
        <x:v>Montaje incompleto</x:v>
      </x:c>
      <x:c r="F23" s="67" t="str">
        <x:v>Energización peligrosa</x:v>
      </x:c>
      <x:c r="G23" s="68" t="n">
        <x:v>2</x:v>
      </x:c>
      <x:c r="H23" s="68" t="n">
        <x:v>5</x:v>
      </x:c>
      <x:c r="I23" s="68" t="n">
        <x:f>G23*H23</x:f>
        <x:v>10</x:v>
      </x:c>
      <x:c r="J23" s="67" t="str">
        <x:v>Bloquear energización hasta cierre de lista de verificación</x:v>
      </x:c>
    </x:row>
    <x:row r="24" ht="59" customHeight="1">
      <x:c r="A24" s="75" t="str">
        <x:v>N02 · Protección de sobrecorriente</x:v>
      </x:c>
      <x:c r="B24" s="67" t="str">
        <x:v>DESPUÉS</x:v>
      </x:c>
      <x:c r="C24" s="67" t="str">
        <x:v>Corriente eléctrica</x:v>
      </x:c>
      <x:c r="D24" s="67" t="str">
        <x:v>No se restituye protección tras intervención</x:v>
      </x:c>
      <x:c r="E24" s="67" t="str">
        <x:v>Rearme incompleto o bypass olvidado</x:v>
      </x:c>
      <x:c r="F24" s="67" t="str">
        <x:v>Equipo expuesto a fallas</x:v>
      </x:c>
      <x:c r="G24" s="68" t="n">
        <x:v>3</x:v>
      </x:c>
      <x:c r="H24" s="68" t="n">
        <x:v>4</x:v>
      </x:c>
      <x:c r="I24" s="68" t="n">
        <x:f>G24*H24</x:f>
        <x:v>12</x:v>
      </x:c>
      <x:c r="J24" s="67" t="str">
        <x:v>Aplicar checklist de devolución al servicio</x:v>
      </x:c>
    </x:row>
    <x:row r="25" ht="59" customHeight="1">
      <x:c r="A25" s="74" t="str">
        <x:v>N03 · Fuente PS-01 de 24 VCC</x:v>
      </x:c>
      <x:c r="B25" s="70" t="str">
        <x:v>NO</x:v>
      </x:c>
      <x:c r="C25" s="70" t="str">
        <x:v>Tensión 24 VCC</x:v>
      </x:c>
      <x:c r="D25" s="70" t="str">
        <x:v>No entrega 24 VCC</x:v>
      </x:c>
      <x:c r="E25" s="70" t="str">
        <x:v>Falla de fuente o primario abierto</x:v>
      </x:c>
      <x:c r="F25" s="70" t="str">
        <x:v>Pérdida PLC/HMI y actuadores</x:v>
      </x:c>
      <x:c r="G25" s="71" t="n">
        <x:v>3</x:v>
      </x:c>
      <x:c r="H25" s="71" t="n">
        <x:v>4</x:v>
      </x:c>
      <x:c r="I25" s="71" t="n">
        <x:f>G25*H25</x:f>
        <x:v>12</x:v>
      </x:c>
      <x:c r="J25" s="70" t="str">
        <x:v>Verificar fuente, protección y estado sin energizar calefacción</x:v>
      </x:c>
    </x:row>
    <x:row r="26" ht="59" customHeight="1">
      <x:c r="A26" s="75" t="str">
        <x:v>N03 · Fuente PS-01 de 24 VCC</x:v>
      </x:c>
      <x:c r="B26" s="67" t="str">
        <x:v>MÁS</x:v>
      </x:c>
      <x:c r="C26" s="67" t="str">
        <x:v>Tensión 24 VCC</x:v>
      </x:c>
      <x:c r="D26" s="67" t="str">
        <x:v>Salida por encima de 24 VCC</x:v>
      </x:c>
      <x:c r="E26" s="67" t="str">
        <x:v>Ajuste o avería de regulación</x:v>
      </x:c>
      <x:c r="F26" s="67" t="str">
        <x:v>Daño de PLC, HMI y ventiladores</x:v>
      </x:c>
      <x:c r="G26" s="68" t="n">
        <x:v>2</x:v>
      </x:c>
      <x:c r="H26" s="68" t="n">
        <x:v>4</x:v>
      </x:c>
      <x:c r="I26" s="68" t="n">
        <x:f>G26*H26</x:f>
        <x:v>8</x:v>
      </x:c>
      <x:c r="J26" s="67" t="str">
        <x:v>Verificar límites admisibles y sobretensión</x:v>
      </x:c>
    </x:row>
    <x:row r="27" ht="59" customHeight="1">
      <x:c r="A27" s="75" t="str">
        <x:v>N03 · Fuente PS-01 de 24 VCC</x:v>
      </x:c>
      <x:c r="B27" s="67" t="str">
        <x:v>MENOS</x:v>
      </x:c>
      <x:c r="C27" s="67" t="str">
        <x:v>Tensión 24 VCC</x:v>
      </x:c>
      <x:c r="D27" s="67" t="str">
        <x:v>Caída de tensión por carga</x:v>
      </x:c>
      <x:c r="E27" s="67" t="str">
        <x:v>Fuente insuficiente o corto de salida</x:v>
      </x:c>
      <x:c r="F27" s="67" t="str">
        <x:v>Reseteos y mando errático</x:v>
      </x:c>
      <x:c r="G27" s="68" t="n">
        <x:v>3</x:v>
      </x:c>
      <x:c r="H27" s="68" t="n">
        <x:v>4</x:v>
      </x:c>
      <x:c r="I27" s="68" t="n">
        <x:f>G27*H27</x:f>
        <x:v>12</x:v>
      </x:c>
      <x:c r="J27" s="67" t="str">
        <x:v>Calcular consumo simultáneo y distribuir protecciones DC</x:v>
      </x:c>
    </x:row>
    <x:row r="28" ht="59" customHeight="1">
      <x:c r="A28" s="75" t="str">
        <x:v>N03 · Fuente PS-01 de 24 VCC</x:v>
      </x:c>
      <x:c r="B28" s="67" t="str">
        <x:v>INVERSO</x:v>
      </x:c>
      <x:c r="C28" s="67" t="str">
        <x:v>Tensión 24 VCC</x:v>
      </x:c>
      <x:c r="D28" s="67" t="str">
        <x:v>Polaridad 24 VCC invertida</x:v>
      </x:c>
      <x:c r="E28" s="67" t="str">
        <x:v>Conexionado +/M incorrecto</x:v>
      </x:c>
      <x:c r="F28" s="67" t="str">
        <x:v>Daño de instrumentos</x:v>
      </x:c>
      <x:c r="G28" s="68" t="n">
        <x:v>2</x:v>
      </x:c>
      <x:c r="H28" s="68" t="n">
        <x:v>4</x:v>
      </x:c>
      <x:c r="I28" s="68" t="n">
        <x:f>G28*H28</x:f>
        <x:v>8</x:v>
      </x:c>
      <x:c r="J28" s="67" t="str">
        <x:v>Rotular polaridad y comprobar antes de conectar</x:v>
      </x:c>
    </x:row>
    <x:row r="29" ht="59" customHeight="1">
      <x:c r="A29" s="75" t="str">
        <x:v>N03 · Fuente PS-01 de 24 VCC</x:v>
      </x:c>
      <x:c r="B29" s="67" t="str">
        <x:v>ADEMÁS DE</x:v>
      </x:c>
      <x:c r="C29" s="67" t="str">
        <x:v>Tensión 24 VCC</x:v>
      </x:c>
      <x:c r="D29" s="67" t="str">
        <x:v>Rizado o pulsaciones de salida</x:v>
      </x:c>
      <x:c r="E29" s="67" t="str">
        <x:v>Filtro degradado o sobrecarga</x:v>
      </x:c>
      <x:c r="F29" s="67" t="str">
        <x:v>Lecturas analógicas erráticas</x:v>
      </x:c>
      <x:c r="G29" s="68" t="n">
        <x:v>3</x:v>
      </x:c>
      <x:c r="H29" s="68" t="n">
        <x:v>3</x:v>
      </x:c>
      <x:c r="I29" s="68" t="n">
        <x:f>G29*H29</x:f>
        <x:v>9</x:v>
      </x:c>
      <x:c r="J29" s="67" t="str">
        <x:v>Inspeccionar salida y filtrado conforme fabricante</x:v>
      </x:c>
    </x:row>
    <x:row r="30" ht="59" customHeight="1">
      <x:c r="A30" s="75" t="str">
        <x:v>N03 · Fuente PS-01 de 24 VCC</x:v>
      </x:c>
      <x:c r="B30" s="67" t="str">
        <x:v>PARTE DE</x:v>
      </x:c>
      <x:c r="C30" s="67" t="str">
        <x:v>Tensión 24 VCC</x:v>
      </x:c>
      <x:c r="D30" s="67" t="str">
        <x:v>24 VCC disponible solo a un equipo</x:v>
      </x:c>
      <x:c r="E30" s="67" t="str">
        <x:v>Cable roto o fusible abierto</x:v>
      </x:c>
      <x:c r="F30" s="67" t="str">
        <x:v>Pérdida parcial de alarmas o ventilación</x:v>
      </x:c>
      <x:c r="G30" s="68" t="n">
        <x:v>3</x:v>
      </x:c>
      <x:c r="H30" s="68" t="n">
        <x:v>4</x:v>
      </x:c>
      <x:c r="I30" s="68" t="n">
        <x:f>G30*H30</x:f>
        <x:v>12</x:v>
      </x:c>
      <x:c r="J30" s="67" t="str">
        <x:v>Comprobar alimentaciones por ramal y protección DC</x:v>
      </x:c>
    </x:row>
    <x:row r="31" ht="59" customHeight="1">
      <x:c r="A31" s="75" t="str">
        <x:v>N03 · Fuente PS-01 de 24 VCC</x:v>
      </x:c>
      <x:c r="B31" s="67" t="str">
        <x:v>OTRO QUE</x:v>
      </x:c>
      <x:c r="C31" s="67" t="str">
        <x:v>Tensión 24 VCC</x:v>
      </x:c>
      <x:c r="D31" s="67" t="str">
        <x:v>Tensión externa aplicada a salida</x:v>
      </x:c>
      <x:c r="E31" s="67" t="str">
        <x:v>Error de bornes o acoplamiento</x:v>
      </x:c>
      <x:c r="F31" s="67" t="str">
        <x:v>Daño irreversible de módulos</x:v>
      </x:c>
      <x:c r="G31" s="68" t="n">
        <x:v>2</x:v>
      </x:c>
      <x:c r="H31" s="68" t="n">
        <x:v>5</x:v>
      </x:c>
      <x:c r="I31" s="68" t="n">
        <x:f>G31*H31</x:f>
        <x:v>10</x:v>
      </x:c>
      <x:c r="J31" s="67" t="str">
        <x:v>Separar canaletas, identificar bornes y verificar cableado</x:v>
      </x:c>
    </x:row>
    <x:row r="32" ht="59" customHeight="1">
      <x:c r="A32" s="75" t="str">
        <x:v>N03 · Fuente PS-01 de 24 VCC</x:v>
      </x:c>
      <x:c r="B32" s="67" t="str">
        <x:v>ANTES</x:v>
      </x:c>
      <x:c r="C32" s="67" t="str">
        <x:v>Tensión 24 VCC</x:v>
      </x:c>
      <x:c r="D32" s="67" t="str">
        <x:v>Se energiza DC antes de revisión</x:v>
      </x:c>
      <x:c r="E32" s="67" t="str">
        <x:v>Procedimiento omitido</x:v>
      </x:c>
      <x:c r="F32" s="67" t="str">
        <x:v>Actuación imprevista de salidas</x:v>
      </x:c>
      <x:c r="G32" s="68" t="n">
        <x:v>3</x:v>
      </x:c>
      <x:c r="H32" s="68" t="n">
        <x:v>4</x:v>
      </x:c>
      <x:c r="I32" s="68" t="n">
        <x:f>G32*H32</x:f>
        <x:v>12</x:v>
      </x:c>
      <x:c r="J32" s="67" t="str">
        <x:v>Inspección de cableado y pruebas sin cargas</x:v>
      </x:c>
    </x:row>
    <x:row r="33" ht="59" customHeight="1">
      <x:c r="A33" s="75" t="str">
        <x:v>N03 · Fuente PS-01 de 24 VCC</x:v>
      </x:c>
      <x:c r="B33" s="67" t="str">
        <x:v>DESPUÉS</x:v>
      </x:c>
      <x:c r="C33" s="67" t="str">
        <x:v>Tensión 24 VCC</x:v>
      </x:c>
      <x:c r="D33" s="67" t="str">
        <x:v>24 VCC sigue disponible al exigir paro total</x:v>
      </x:c>
      <x:c r="E33" s="67" t="str">
        <x:v>Arquitectura de corte mal definida</x:v>
      </x:c>
      <x:c r="F33" s="67" t="str">
        <x:v>Percepción errónea de aislamiento seguro</x:v>
      </x:c>
      <x:c r="G33" s="68" t="n">
        <x:v>3</x:v>
      </x:c>
      <x:c r="H33" s="68" t="n">
        <x:v>4</x:v>
      </x:c>
      <x:c r="I33" s="68" t="n">
        <x:f>G33*H33</x:f>
        <x:v>12</x:v>
      </x:c>
      <x:c r="J33" s="67" t="str">
        <x:v>Distinguir paro de calefacción de seccionamiento para mantenimiento</x:v>
      </x:c>
    </x:row>
    <x:row r="34" ht="59" customHeight="1">
      <x:c r="A34" s="74" t="str">
        <x:v>N04 · Circuito calefactor EH-01</x:v>
      </x:c>
      <x:c r="B34" s="70" t="str">
        <x:v>NO</x:v>
      </x:c>
      <x:c r="C34" s="70" t="str">
        <x:v>Potencia térmica</x:v>
      </x:c>
      <x:c r="D34" s="70" t="str">
        <x:v>No hay generación de calor</x:v>
      </x:c>
      <x:c r="E34" s="70" t="str">
        <x:v>Lámpara abierta, SSR abierto o K-01 abierto</x:v>
      </x:c>
      <x:c r="F34" s="70" t="str">
        <x:v>No alcanza consigna; ciclo incompleto</x:v>
      </x:c>
      <x:c r="G34" s="71" t="n">
        <x:v>3</x:v>
      </x:c>
      <x:c r="H34" s="71" t="n">
        <x:v>3</x:v>
      </x:c>
      <x:c r="I34" s="71" t="n">
        <x:f>G34*H34</x:f>
        <x:v>9</x:v>
      </x:c>
      <x:c r="J34" s="70" t="str">
        <x:v>Comprobar circuito de lámparas y generar alarma por calentamiento insuficiente</x:v>
      </x:c>
    </x:row>
    <x:row r="35" ht="59" customHeight="1">
      <x:c r="A35" s="75" t="str">
        <x:v>N04 · Circuito calefactor EH-01</x:v>
      </x:c>
      <x:c r="B35" s="67" t="str">
        <x:v>MÁS</x:v>
      </x:c>
      <x:c r="C35" s="67" t="str">
        <x:v>Potencia térmica</x:v>
      </x:c>
      <x:c r="D35" s="67" t="str">
        <x:v>Potencia superior a demanda</x:v>
      </x:c>
      <x:c r="E35" s="67" t="str">
        <x:v>SSR conduciendo fijo o salida errónea</x:v>
      </x:c>
      <x:c r="F35" s="67" t="str">
        <x:v>Sobretemperatura, incendio y posible ignición de vapores</x:v>
      </x:c>
      <x:c r="G35" s="68" t="n">
        <x:v>3</x:v>
      </x:c>
      <x:c r="H35" s="68" t="n">
        <x:v>5</x:v>
      </x:c>
      <x:c r="I35" s="68" t="n">
        <x:f>G35*H35</x:f>
        <x:v>15</x:v>
      </x:c>
      <x:c r="J35" s="67" t="str">
        <x:v>Validar TSHH-01/K-01 independiente y compatibilidad de calefactores con barniz</x:v>
      </x:c>
    </x:row>
    <x:row r="36" ht="59" customHeight="1">
      <x:c r="A36" s="75" t="str">
        <x:v>N04 · Circuito calefactor EH-01</x:v>
      </x:c>
      <x:c r="B36" s="67" t="str">
        <x:v>MENOS</x:v>
      </x:c>
      <x:c r="C36" s="67" t="str">
        <x:v>Potencia térmica</x:v>
      </x:c>
      <x:c r="D36" s="67" t="str">
        <x:v>Potencia menor que requerida</x:v>
      </x:c>
      <x:c r="E36" s="67" t="str">
        <x:v>Lámpara fallada o tensión baja</x:v>
      </x:c>
      <x:c r="F36" s="67" t="str">
        <x:v>Curado incompleto</x:v>
      </x:c>
      <x:c r="G36" s="68" t="n">
        <x:v>3</x:v>
      </x:c>
      <x:c r="H36" s="68" t="n">
        <x:v>3</x:v>
      </x:c>
      <x:c r="I36" s="68" t="n">
        <x:f>G36*H36</x:f>
        <x:v>9</x:v>
      </x:c>
      <x:c r="J36" s="67" t="str">
        <x:v>Verificar cada lámpara y balance térmico sin barniz</x:v>
      </x:c>
    </x:row>
    <x:row r="37" ht="59" customHeight="1">
      <x:c r="A37" s="75" t="str">
        <x:v>N04 · Circuito calefactor EH-01</x:v>
      </x:c>
      <x:c r="B37" s="67" t="str">
        <x:v>INVERSO</x:v>
      </x:c>
      <x:c r="C37" s="67" t="str">
        <x:v>Potencia térmica</x:v>
      </x:c>
      <x:c r="D37" s="67" t="str">
        <x:v>Calor hacia zonas no previstas</x:v>
      </x:c>
      <x:c r="E37" s="67" t="str">
        <x:v>Orientación inadecuada de radiación</x:v>
      </x:c>
      <x:c r="F37" s="67" t="str">
        <x:v>Puntos calientes en cámara/cableado</x:v>
      </x:c>
      <x:c r="G37" s="68" t="n">
        <x:v>3</x:v>
      </x:c>
      <x:c r="H37" s="68" t="n">
        <x:v>4</x:v>
      </x:c>
      <x:c r="I37" s="68" t="n">
        <x:f>G37*H37</x:f>
        <x:v>12</x:v>
      </x:c>
      <x:c r="J37" s="67" t="str">
        <x:v>Revisar distancias, reflectores y protección de cables</x:v>
      </x:c>
    </x:row>
    <x:row r="38" ht="59" customHeight="1">
      <x:c r="A38" s="75" t="str">
        <x:v>N04 · Circuito calefactor EH-01</x:v>
      </x:c>
      <x:c r="B38" s="67" t="str">
        <x:v>ADEMÁS DE</x:v>
      </x:c>
      <x:c r="C38" s="67" t="str">
        <x:v>Potencia térmica</x:v>
      </x:c>
      <x:c r="D38" s="67" t="str">
        <x:v>Calefacción más chispas/vapores</x:v>
      </x:c>
      <x:c r="E38" s="67" t="str">
        <x:v>Lámpara caliente ante solventes del barniz</x:v>
      </x:c>
      <x:c r="F38" s="67" t="str">
        <x:v>Incendio o deflagración</x:v>
      </x:c>
      <x:c r="G38" s="68" t="n">
        <x:v>4</x:v>
      </x:c>
      <x:c r="H38" s="68" t="n">
        <x:v>5</x:v>
      </x:c>
      <x:c r="I38" s="68" t="n">
        <x:f>G38*H38</x:f>
        <x:v>20</x:v>
      </x:c>
      <x:c r="J38" s="67" t="str">
        <x:v>PROHIBIR pruebas con barniz hasta validar FDS y eliminar/controlar fuentes de ignición</x:v>
      </x:c>
    </x:row>
    <x:row r="39" ht="59" customHeight="1">
      <x:c r="A39" s="75" t="str">
        <x:v>N04 · Circuito calefactor EH-01</x:v>
      </x:c>
      <x:c r="B39" s="67" t="str">
        <x:v>PARTE DE</x:v>
      </x:c>
      <x:c r="C39" s="67" t="str">
        <x:v>Potencia térmica</x:v>
      </x:c>
      <x:c r="D39" s="67" t="str">
        <x:v>Solo una lámpara calienta</x:v>
      </x:c>
      <x:c r="E39" s="67" t="str">
        <x:v>Falla en una rama paralela</x:v>
      </x:c>
      <x:c r="F39" s="67" t="str">
        <x:v>No uniformidad térmica</x:v>
      </x:c>
      <x:c r="G39" s="68" t="n">
        <x:v>3</x:v>
      </x:c>
      <x:c r="H39" s="68" t="n">
        <x:v>3</x:v>
      </x:c>
      <x:c r="I39" s="68" t="n">
        <x:f>G39*H39</x:f>
        <x:v>9</x:v>
      </x:c>
      <x:c r="J39" s="67" t="str">
        <x:v>Inspeccionar conexiones y medir respuesta térmica distribuida</x:v>
      </x:c>
    </x:row>
    <x:row r="40" ht="59" customHeight="1">
      <x:c r="A40" s="75" t="str">
        <x:v>N04 · Circuito calefactor EH-01</x:v>
      </x:c>
      <x:c r="B40" s="67" t="str">
        <x:v>OTRO QUE</x:v>
      </x:c>
      <x:c r="C40" s="67" t="str">
        <x:v>Potencia térmica</x:v>
      </x:c>
      <x:c r="D40" s="67" t="str">
        <x:v>Elemento calefactor diferente al previsto</x:v>
      </x:c>
      <x:c r="E40" s="67" t="str">
        <x:v>Sustitución de modelo/potencia</x:v>
      </x:c>
      <x:c r="F40" s="67" t="str">
        <x:v>Sobrecarga y cambio de riesgo de ignición</x:v>
      </x:c>
      <x:c r="G40" s="68" t="n">
        <x:v>3</x:v>
      </x:c>
      <x:c r="H40" s="68" t="n">
        <x:v>5</x:v>
      </x:c>
      <x:c r="I40" s="68" t="n">
        <x:f>G40*H40</x:f>
        <x:v>15</x:v>
      </x:c>
      <x:c r="J40" s="67" t="str">
        <x:v>Validar ficha técnica, montaje y análisis de cambio</x:v>
      </x:c>
    </x:row>
    <x:row r="41" ht="59" customHeight="1">
      <x:c r="A41" s="75" t="str">
        <x:v>N04 · Circuito calefactor EH-01</x:v>
      </x:c>
      <x:c r="B41" s="67" t="str">
        <x:v>ANTES</x:v>
      </x:c>
      <x:c r="C41" s="67" t="str">
        <x:v>Potencia térmica</x:v>
      </x:c>
      <x:c r="D41" s="67" t="str">
        <x:v>Calefacción antes de cerrar puerta</x:v>
      </x:c>
      <x:c r="E41" s="67" t="str">
        <x:v>Secuencia sin permisos o intervención manual</x:v>
      </x:c>
      <x:c r="F41" s="67" t="str">
        <x:v>Quemaduras y calor fuera de cámara</x:v>
      </x:c>
      <x:c r="G41" s="68" t="n">
        <x:v>3</x:v>
      </x:c>
      <x:c r="H41" s="68" t="n">
        <x:v>4</x:v>
      </x:c>
      <x:c r="I41" s="68" t="n">
        <x:f>G41*H41</x:f>
        <x:v>12</x:v>
      </x:c>
      <x:c r="J41" s="67" t="str">
        <x:v>No energizar antes de verificación de puerta y condiciones seguras</x:v>
      </x:c>
    </x:row>
    <x:row r="42" ht="59" customHeight="1">
      <x:c r="A42" s="75" t="str">
        <x:v>N04 · Circuito calefactor EH-01</x:v>
      </x:c>
      <x:c r="B42" s="67" t="str">
        <x:v>DESPUÉS</x:v>
      </x:c>
      <x:c r="C42" s="67" t="str">
        <x:v>Potencia térmica</x:v>
      </x:c>
      <x:c r="D42" s="67" t="str">
        <x:v>Permanece encendida tras finalizar ciclo</x:v>
      </x:c>
      <x:c r="E42" s="67" t="str">
        <x:v>Fallo SSR, temporizador o secuencia</x:v>
      </x:c>
      <x:c r="F42" s="67" t="str">
        <x:v>Sobrecurado, fuego y daño de bobina</x:v>
      </x:c>
      <x:c r="G42" s="68" t="n">
        <x:v>3</x:v>
      </x:c>
      <x:c r="H42" s="68" t="n">
        <x:v>5</x:v>
      </x:c>
      <x:c r="I42" s="68" t="n">
        <x:f>G42*H42</x:f>
        <x:v>15</x:v>
      </x:c>
      <x:c r="J42" s="67" t="str">
        <x:v>Corte K-01 al finalizar; verificar retroalimentación de potencia</x:v>
      </x:c>
    </x:row>
    <x:row r="43" ht="59" customHeight="1">
      <x:c r="A43" s="74" t="str">
        <x:v>N05 · SSR-01 y disipación</x:v>
      </x:c>
      <x:c r="B43" s="70" t="str">
        <x:v>NO</x:v>
      </x:c>
      <x:c r="C43" s="70" t="str">
        <x:v>Conducción de potencia</x:v>
      </x:c>
      <x:c r="D43" s="70" t="str">
        <x:v>No conmuta la carga</x:v>
      </x:c>
      <x:c r="E43" s="70" t="str">
        <x:v>Falla abierta o señal de mando ausente</x:v>
      </x:c>
      <x:c r="F43" s="70" t="str">
        <x:v>Ausencia de calentamiento</x:v>
      </x:c>
      <x:c r="G43" s="71" t="n">
        <x:v>3</x:v>
      </x:c>
      <x:c r="H43" s="71" t="n">
        <x:v>3</x:v>
      </x:c>
      <x:c r="I43" s="71" t="n">
        <x:f>G43*H43</x:f>
        <x:v>9</x:v>
      </x:c>
      <x:c r="J43" s="70" t="str">
        <x:v>Verificar mando 4–20 mA y respuesta con carga de prueba</x:v>
      </x:c>
    </x:row>
    <x:row r="44" ht="59" customHeight="1">
      <x:c r="A44" s="75" t="str">
        <x:v>N05 · SSR-01 y disipación</x:v>
      </x:c>
      <x:c r="B44" s="67" t="str">
        <x:v>MÁS</x:v>
      </x:c>
      <x:c r="C44" s="67" t="str">
        <x:v>Conducción de potencia</x:v>
      </x:c>
      <x:c r="D44" s="67" t="str">
        <x:v>Conducción continua</x:v>
      </x:c>
      <x:c r="E44" s="67" t="str">
        <x:v>Semiconductor en cortocircuito</x:v>
      </x:c>
      <x:c r="F44" s="67" t="str">
        <x:v>Sobretemperatura aun con PID a cero</x:v>
      </x:c>
      <x:c r="G44" s="68" t="n">
        <x:v>3</x:v>
      </x:c>
      <x:c r="H44" s="68" t="n">
        <x:v>5</x:v>
      </x:c>
      <x:c r="I44" s="68" t="n">
        <x:f>G44*H44</x:f>
        <x:v>15</x:v>
      </x:c>
      <x:c r="J44" s="67" t="str">
        <x:v>K-01 de corte independiente, termostato TSHH y prueba de falla segura</x:v>
      </x:c>
    </x:row>
    <x:row r="45" ht="59" customHeight="1">
      <x:c r="A45" s="75" t="str">
        <x:v>N05 · SSR-01 y disipación</x:v>
      </x:c>
      <x:c r="B45" s="67" t="str">
        <x:v>MENOS</x:v>
      </x:c>
      <x:c r="C45" s="67" t="str">
        <x:v>Conducción de potencia</x:v>
      </x:c>
      <x:c r="D45" s="67" t="str">
        <x:v>Conduce menos de lo ordenado</x:v>
      </x:c>
      <x:c r="E45" s="67" t="str">
        <x:v>Fallo parcial o disipador inadecuado</x:v>
      </x:c>
      <x:c r="F45" s="67" t="str">
        <x:v>Calentamiento lento</x:v>
      </x:c>
      <x:c r="G45" s="68" t="n">
        <x:v>3</x:v>
      </x:c>
      <x:c r="H45" s="68" t="n">
        <x:v>3</x:v>
      </x:c>
      <x:c r="I45" s="68" t="n">
        <x:f>G45*H45</x:f>
        <x:v>9</x:v>
      </x:c>
      <x:c r="J45" s="67" t="str">
        <x:v>Comprobar corrientes y potencia con instrumento adecuado</x:v>
      </x:c>
    </x:row>
    <x:row r="46" ht="59" customHeight="1">
      <x:c r="A46" s="75" t="str">
        <x:v>N05 · SSR-01 y disipación</x:v>
      </x:c>
      <x:c r="B46" s="67" t="str">
        <x:v>INVERSO</x:v>
      </x:c>
      <x:c r="C46" s="67" t="str">
        <x:v>Conducción de potencia</x:v>
      </x:c>
      <x:c r="D46" s="67" t="str">
        <x:v>Respuesta inversa a señal</x:v>
      </x:c>
      <x:c r="E46" s="67" t="str">
        <x:v>Configuración de entrada errónea</x:v>
      </x:c>
      <x:c r="F46" s="67" t="str">
        <x:v>Mayor calor al reducir demanda</x:v>
      </x:c>
      <x:c r="G46" s="68" t="n">
        <x:v>3</x:v>
      </x:c>
      <x:c r="H46" s="68" t="n">
        <x:v>5</x:v>
      </x:c>
      <x:c r="I46" s="68" t="n">
        <x:f>G46*H46</x:f>
        <x:v>15</x:v>
      </x:c>
      <x:c r="J46" s="67" t="str">
        <x:v>Verificar polaridad, curva entrada-salida y referencia de control</x:v>
      </x:c>
    </x:row>
    <x:row r="47" ht="59" customHeight="1">
      <x:c r="A47" s="75" t="str">
        <x:v>N05 · SSR-01 y disipación</x:v>
      </x:c>
      <x:c r="B47" s="67" t="str">
        <x:v>ADEMÁS DE</x:v>
      </x:c>
      <x:c r="C47" s="67" t="str">
        <x:v>Conducción de potencia</x:v>
      </x:c>
      <x:c r="D47" s="67" t="str">
        <x:v>Conducción con sobrecalentamiento del SSR</x:v>
      </x:c>
      <x:c r="E47" s="67" t="str">
        <x:v>Disipación insuficiente o corriente de irrupción</x:v>
      </x:c>
      <x:c r="F47" s="67" t="str">
        <x:v>Fallo en corto e incendio del tablero</x:v>
      </x:c>
      <x:c r="G47" s="68" t="n">
        <x:v>3</x:v>
      </x:c>
      <x:c r="H47" s="68" t="n">
        <x:v>5</x:v>
      </x:c>
      <x:c r="I47" s="68" t="n">
        <x:f>G47*H47</x:f>
        <x:v>15</x:v>
      </x:c>
      <x:c r="J47" s="67" t="str">
        <x:v>Dimensionar disipador y ventilación; validar corriente de arranque</x:v>
      </x:c>
    </x:row>
    <x:row r="48" ht="59" customHeight="1">
      <x:c r="A48" s="75" t="str">
        <x:v>N05 · SSR-01 y disipación</x:v>
      </x:c>
      <x:c r="B48" s="67" t="str">
        <x:v>PARTE DE</x:v>
      </x:c>
      <x:c r="C48" s="67" t="str">
        <x:v>Conducción de potencia</x:v>
      </x:c>
      <x:c r="D48" s="67" t="str">
        <x:v>Conduce únicamente parte del ciclo</x:v>
      </x:c>
      <x:c r="E48" s="67" t="str">
        <x:v>Intermitencia de cable de control</x:v>
      </x:c>
      <x:c r="F48" s="67" t="str">
        <x:v>Oscilación de temperatura</x:v>
      </x:c>
      <x:c r="G48" s="68" t="n">
        <x:v>3</x:v>
      </x:c>
      <x:c r="H48" s="68" t="n">
        <x:v>3</x:v>
      </x:c>
      <x:c r="I48" s="68" t="n">
        <x:f>G48*H48</x:f>
        <x:v>9</x:v>
      </x:c>
      <x:c r="J48" s="67" t="str">
        <x:v>Verificar bornes, estabilidad de corriente de mando</x:v>
      </x:c>
    </x:row>
    <x:row r="49" ht="59" customHeight="1">
      <x:c r="A49" s="75" t="str">
        <x:v>N05 · SSR-01 y disipación</x:v>
      </x:c>
      <x:c r="B49" s="67" t="str">
        <x:v>OTRO QUE</x:v>
      </x:c>
      <x:c r="C49" s="67" t="str">
        <x:v>Conducción de potencia</x:v>
      </x:c>
      <x:c r="D49" s="67" t="str">
        <x:v>Se instala otro SSR con diferente modo</x:v>
      </x:c>
      <x:c r="E49" s="67" t="str">
        <x:v>Error de compra o identificación</x:v>
      </x:c>
      <x:c r="F49" s="67" t="str">
        <x:v>Mando analógico incompatible y comportamiento inseguro</x:v>
      </x:c>
      <x:c r="G49" s="68" t="n">
        <x:v>3</x:v>
      </x:c>
      <x:c r="H49" s="68" t="n">
        <x:v>5</x:v>
      </x:c>
      <x:c r="I49" s="68" t="n">
        <x:f>G49*H49</x:f>
        <x:v>15</x:v>
      </x:c>
      <x:c r="J49" s="67" t="str">
        <x:v>Verificar ficha FCGT1-F25LA25 y su método real de control</x:v>
      </x:c>
    </x:row>
    <x:row r="50" ht="59" customHeight="1">
      <x:c r="A50" s="75" t="str">
        <x:v>N05 · SSR-01 y disipación</x:v>
      </x:c>
      <x:c r="B50" s="67" t="str">
        <x:v>ANTES</x:v>
      </x:c>
      <x:c r="C50" s="67" t="str">
        <x:v>Conducción de potencia</x:v>
      </x:c>
      <x:c r="D50" s="67" t="str">
        <x:v>SSR habilitado antes de permisos</x:v>
      </x:c>
      <x:c r="E50" s="67" t="str">
        <x:v>Secuencia o puente manual</x:v>
      </x:c>
      <x:c r="F50" s="67" t="str">
        <x:v>Calefacción inesperada</x:v>
      </x:c>
      <x:c r="G50" s="68" t="n">
        <x:v>3</x:v>
      </x:c>
      <x:c r="H50" s="68" t="n">
        <x:v>5</x:v>
      </x:c>
      <x:c r="I50" s="68" t="n">
        <x:f>G50*H50</x:f>
        <x:v>15</x:v>
      </x:c>
      <x:c r="J50" s="67" t="str">
        <x:v>Enclavar energización física por K-01 y permisos</x:v>
      </x:c>
    </x:row>
    <x:row r="51" ht="59" customHeight="1">
      <x:c r="A51" s="75" t="str">
        <x:v>N05 · SSR-01 y disipación</x:v>
      </x:c>
      <x:c r="B51" s="67" t="str">
        <x:v>DESPUÉS</x:v>
      </x:c>
      <x:c r="C51" s="67" t="str">
        <x:v>Conducción de potencia</x:v>
      </x:c>
      <x:c r="D51" s="67" t="str">
        <x:v>Continúa conduciendo después de parada</x:v>
      </x:c>
      <x:c r="E51" s="67" t="str">
        <x:v>Falla en conducción o corriente residual</x:v>
      </x:c>
      <x:c r="F51" s="67" t="str">
        <x:v>Riesgo de contacto y calentamiento residual</x:v>
      </x:c>
      <x:c r="G51" s="68" t="n">
        <x:v>3</x:v>
      </x:c>
      <x:c r="H51" s="68" t="n">
        <x:v>5</x:v>
      </x:c>
      <x:c r="I51" s="68" t="n">
        <x:f>G51*H51</x:f>
        <x:v>15</x:v>
      </x:c>
      <x:c r="J51" s="67" t="str">
        <x:v>No usar SSR como seccionador; verificar corte efectivo K-01</x:v>
      </x:c>
    </x:row>
    <x:row r="52" ht="59" customHeight="1">
      <x:c r="A52" s="74" t="str">
        <x:v>N06 · Sensor TE-23 PT100</x:v>
      </x:c>
      <x:c r="B52" s="70" t="str">
        <x:v>NO</x:v>
      </x:c>
      <x:c r="C52" s="70" t="str">
        <x:v>Temperatura medida</x:v>
      </x:c>
      <x:c r="D52" s="70" t="str">
        <x:v>Sin señal PT100</x:v>
      </x:c>
      <x:c r="E52" s="70" t="str">
        <x:v>Circuito abierto o cable roto</x:v>
      </x:c>
      <x:c r="F52" s="70" t="str">
        <x:v>No se conoce temperatura</x:v>
      </x:c>
      <x:c r="G52" s="71" t="n">
        <x:v>3</x:v>
      </x:c>
      <x:c r="H52" s="71" t="n">
        <x:v>5</x:v>
      </x:c>
      <x:c r="I52" s="71" t="n">
        <x:f>G52*H52</x:f>
        <x:v>15</x:v>
      </x:c>
      <x:c r="J52" s="70" t="str">
        <x:v>Diagnosticar falla y deshabilitar calefacción</x:v>
      </x:c>
    </x:row>
    <x:row r="53" ht="59" customHeight="1">
      <x:c r="A53" s="75" t="str">
        <x:v>N06 · Sensor TE-23 PT100</x:v>
      </x:c>
      <x:c r="B53" s="67" t="str">
        <x:v>MÁS</x:v>
      </x:c>
      <x:c r="C53" s="67" t="str">
        <x:v>Temperatura medida</x:v>
      </x:c>
      <x:c r="D53" s="67" t="str">
        <x:v>Lectura mayor que real</x:v>
      </x:c>
      <x:c r="E53" s="67" t="str">
        <x:v>Cableado/compensación o ubicación errónea</x:v>
      </x:c>
      <x:c r="F53" s="67" t="str">
        <x:v>Calefacción insuficiente y curado defectuoso</x:v>
      </x:c>
      <x:c r="G53" s="68" t="n">
        <x:v>3</x:v>
      </x:c>
      <x:c r="H53" s="68" t="n">
        <x:v>3</x:v>
      </x:c>
      <x:c r="I53" s="68" t="n">
        <x:f>G53*H53</x:f>
        <x:v>9</x:v>
      </x:c>
      <x:c r="J53" s="67" t="str">
        <x:v>Comparar con referencia independiente y calibrar</x:v>
      </x:c>
    </x:row>
    <x:row r="54" ht="59" customHeight="1">
      <x:c r="A54" s="75" t="str">
        <x:v>N06 · Sensor TE-23 PT100</x:v>
      </x:c>
      <x:c r="B54" s="67" t="str">
        <x:v>MENOS</x:v>
      </x:c>
      <x:c r="C54" s="67" t="str">
        <x:v>Temperatura medida</x:v>
      </x:c>
      <x:c r="D54" s="67" t="str">
        <x:v>Lectura menor que real</x:v>
      </x:c>
      <x:c r="E54" s="67" t="str">
        <x:v>Corto, calibración o mal contacto</x:v>
      </x:c>
      <x:c r="F54" s="67" t="str">
        <x:v>Sobrecalentamiento del horno</x:v>
      </x:c>
      <x:c r="G54" s="68" t="n">
        <x:v>3</x:v>
      </x:c>
      <x:c r="H54" s="68" t="n">
        <x:v>5</x:v>
      </x:c>
      <x:c r="I54" s="68" t="n">
        <x:f>G54*H54</x:f>
        <x:v>15</x:v>
      </x:c>
      <x:c r="J54" s="67" t="str">
        <x:v>Verificar RTD y TSHH independiente</x:v>
      </x:c>
    </x:row>
    <x:row r="55" ht="59" customHeight="1">
      <x:c r="A55" s="75" t="str">
        <x:v>N06 · Sensor TE-23 PT100</x:v>
      </x:c>
      <x:c r="B55" s="67" t="str">
        <x:v>INVERSO</x:v>
      </x:c>
      <x:c r="C55" s="67" t="str">
        <x:v>Temperatura medida</x:v>
      </x:c>
      <x:c r="D55" s="67" t="str">
        <x:v>Cambio de signo o lectura inversa</x:v>
      </x:c>
      <x:c r="E55" s="67" t="str">
        <x:v>Configuración de escala incorrecta</x:v>
      </x:c>
      <x:c r="F55" s="67" t="str">
        <x:v>Control inestable</x:v>
      </x:c>
      <x:c r="G55" s="68" t="n">
        <x:v>2</x:v>
      </x:c>
      <x:c r="H55" s="68" t="n">
        <x:v>4</x:v>
      </x:c>
      <x:c r="I55" s="68" t="n">
        <x:f>G55*H55</x:f>
        <x:v>8</x:v>
      </x:c>
      <x:c r="J55" s="67" t="str">
        <x:v>Verificar conversión temperatura/resistencia y pruebas por puntos</x:v>
      </x:c>
    </x:row>
    <x:row r="56" ht="59" customHeight="1">
      <x:c r="A56" s="75" t="str">
        <x:v>N06 · Sensor TE-23 PT100</x:v>
      </x:c>
      <x:c r="B56" s="67" t="str">
        <x:v>ADEMÁS DE</x:v>
      </x:c>
      <x:c r="C56" s="67" t="str">
        <x:v>Temperatura medida</x:v>
      </x:c>
      <x:c r="D56" s="67" t="str">
        <x:v>Lectura con ruido/oscilaciones</x:v>
      </x:c>
      <x:c r="E56" s="67" t="str">
        <x:v>EMI, instalación cercana a potencia</x:v>
      </x:c>
      <x:c r="F56" s="67" t="str">
        <x:v>Oscilación de salida PID</x:v>
      </x:c>
      <x:c r="G56" s="68" t="n">
        <x:v>3</x:v>
      </x:c>
      <x:c r="H56" s="68" t="n">
        <x:v>3</x:v>
      </x:c>
      <x:c r="I56" s="68" t="n">
        <x:f>G56*H56</x:f>
        <x:v>9</x:v>
      </x:c>
      <x:c r="J56" s="67" t="str">
        <x:v>Separación de conductores, blindaje y filtro validado</x:v>
      </x:c>
    </x:row>
    <x:row r="57" ht="59" customHeight="1">
      <x:c r="A57" s="75" t="str">
        <x:v>N06 · Sensor TE-23 PT100</x:v>
      </x:c>
      <x:c r="B57" s="67" t="str">
        <x:v>PARTE DE</x:v>
      </x:c>
      <x:c r="C57" s="67" t="str">
        <x:v>Temperatura medida</x:v>
      </x:c>
      <x:c r="D57" s="67" t="str">
        <x:v>Mide solo una zona no representativa</x:v>
      </x:c>
      <x:c r="E57" s="67" t="str">
        <x:v>Ubicación inadecuada del sensor</x:v>
      </x:c>
      <x:c r="F57" s="67" t="str">
        <x:v>Bobinado o superficies alcanzan temperaturas distintas</x:v>
      </x:c>
      <x:c r="G57" s="68" t="n">
        <x:v>3</x:v>
      </x:c>
      <x:c r="H57" s="68" t="n">
        <x:v>4</x:v>
      </x:c>
      <x:c r="I57" s="68" t="n">
        <x:f>G57*H57</x:f>
        <x:v>12</x:v>
      </x:c>
      <x:c r="J57" s="67" t="str">
        <x:v>Evaluar uniformidad térmica y colocar sensores de ensayo</x:v>
      </x:c>
    </x:row>
    <x:row r="58" ht="59" customHeight="1">
      <x:c r="A58" s="75" t="str">
        <x:v>N06 · Sensor TE-23 PT100</x:v>
      </x:c>
      <x:c r="B58" s="67" t="str">
        <x:v>OTRO QUE</x:v>
      </x:c>
      <x:c r="C58" s="67" t="str">
        <x:v>Temperatura medida</x:v>
      </x:c>
      <x:c r="D58" s="67" t="str">
        <x:v>Mide aire en vez de bobinado</x:v>
      </x:c>
      <x:c r="E58" s="67" t="str">
        <x:v>Variable de proceso mal interpretada</x:v>
      </x:c>
      <x:c r="F58" s="67" t="str">
        <x:v>Tiempo de curado mal validado</x:v>
      </x:c>
      <x:c r="G58" s="68" t="n">
        <x:v>4</x:v>
      </x:c>
      <x:c r="H58" s="68" t="n">
        <x:v>4</x:v>
      </x:c>
      <x:c r="I58" s="68" t="n">
        <x:f>G58*H58</x:f>
        <x:v>16</x:v>
      </x:c>
      <x:c r="J58" s="67" t="str">
        <x:v>Documentar PV aire y validar temperatura de la carga por separado</x:v>
      </x:c>
    </x:row>
    <x:row r="59" ht="59" customHeight="1">
      <x:c r="A59" s="75" t="str">
        <x:v>N06 · Sensor TE-23 PT100</x:v>
      </x:c>
      <x:c r="B59" s="67" t="str">
        <x:v>ANTES</x:v>
      </x:c>
      <x:c r="C59" s="67" t="str">
        <x:v>Temperatura medida</x:v>
      </x:c>
      <x:c r="D59" s="67" t="str">
        <x:v>Lectura antes de estabilizar sensor</x:v>
      </x:c>
      <x:c r="E59" s="67" t="str">
        <x:v>Puesta en marcha apresurada</x:v>
      </x:c>
      <x:c r="F59" s="67" t="str">
        <x:v>Temporización temprana</x:v>
      </x:c>
      <x:c r="G59" s="68" t="n">
        <x:v>3</x:v>
      </x:c>
      <x:c r="H59" s="68" t="n">
        <x:v>3</x:v>
      </x:c>
      <x:c r="I59" s="68" t="n">
        <x:f>G59*H59</x:f>
        <x:v>9</x:v>
      </x:c>
      <x:c r="J59" s="67" t="str">
        <x:v>Validar señal y condiciones de inicio antes de contar curado</x:v>
      </x:c>
    </x:row>
    <x:row r="60" ht="59" customHeight="1">
      <x:c r="A60" s="75" t="str">
        <x:v>N06 · Sensor TE-23 PT100</x:v>
      </x:c>
      <x:c r="B60" s="67" t="str">
        <x:v>DESPUÉS</x:v>
      </x:c>
      <x:c r="C60" s="67" t="str">
        <x:v>Temperatura medida</x:v>
      </x:c>
      <x:c r="D60" s="67" t="str">
        <x:v>Lectura sigue congelada tras fallo</x:v>
      </x:c>
      <x:c r="E60" s="67" t="str">
        <x:v>Variable retenida o actualización perdida</x:v>
      </x:c>
      <x:c r="F60" s="67" t="str">
        <x:v>Calefacción no controlada</x:v>
      </x:c>
      <x:c r="G60" s="68" t="n">
        <x:v>3</x:v>
      </x:c>
      <x:c r="H60" s="68" t="n">
        <x:v>5</x:v>
      </x:c>
      <x:c r="I60" s="68" t="n">
        <x:f>G60*H60</x:f>
        <x:v>15</x:v>
      </x:c>
      <x:c r="J60" s="67" t="str">
        <x:v>Detección de señal estancada y verificación periódica</x:v>
      </x:c>
    </x:row>
    <x:row r="61" ht="59" customHeight="1">
      <x:c r="A61" s="74" t="str">
        <x:v>N07 · Transmisor TT-23</x:v>
      </x:c>
      <x:c r="B61" s="70" t="str">
        <x:v>NO</x:v>
      </x:c>
      <x:c r="C61" s="70" t="str">
        <x:v>Señal 4–20 mA PV</x:v>
      </x:c>
      <x:c r="D61" s="70" t="str">
        <x:v>Salida 0 mA o cable abierto</x:v>
      </x:c>
      <x:c r="E61" s="70" t="str">
        <x:v>Transmisor sin alimentación</x:v>
      </x:c>
      <x:c r="F61" s="70" t="str">
        <x:v>PV perdida</x:v>
      </x:c>
      <x:c r="G61" s="71" t="n">
        <x:v>3</x:v>
      </x:c>
      <x:c r="H61" s="71" t="n">
        <x:v>5</x:v>
      </x:c>
      <x:c r="I61" s="71" t="n">
        <x:f>G61*H61</x:f>
        <x:v>15</x:v>
      </x:c>
      <x:c r="J61" s="70" t="str">
        <x:v>Diagnosticar rotura de lazo y bloquear calefacción</x:v>
      </x:c>
    </x:row>
    <x:row r="62" ht="59" customHeight="1">
      <x:c r="A62" s="75" t="str">
        <x:v>N07 · Transmisor TT-23</x:v>
      </x:c>
      <x:c r="B62" s="67" t="str">
        <x:v>MÁS</x:v>
      </x:c>
      <x:c r="C62" s="67" t="str">
        <x:v>Señal 4–20 mA PV</x:v>
      </x:c>
      <x:c r="D62" s="67" t="str">
        <x:v>Señal superior al rango</x:v>
      </x:c>
      <x:c r="E62" s="67" t="str">
        <x:v>Falla de transmisor/sobrerango</x:v>
      </x:c>
      <x:c r="F62" s="67" t="str">
        <x:v>Lectura errónea y alarmas</x:v>
      </x:c>
      <x:c r="G62" s="68" t="n">
        <x:v>3</x:v>
      </x:c>
      <x:c r="H62" s="68" t="n">
        <x:v>4</x:v>
      </x:c>
      <x:c r="I62" s="68" t="n">
        <x:f>G62*H62</x:f>
        <x:v>12</x:v>
      </x:c>
      <x:c r="J62" s="67" t="str">
        <x:v>Validar manejo fuera de rango y límites 0–150 °C</x:v>
      </x:c>
    </x:row>
    <x:row r="63" ht="59" customHeight="1">
      <x:c r="A63" s="75" t="str">
        <x:v>N07 · Transmisor TT-23</x:v>
      </x:c>
      <x:c r="B63" s="67" t="str">
        <x:v>MENOS</x:v>
      </x:c>
      <x:c r="C63" s="67" t="str">
        <x:v>Señal 4–20 mA PV</x:v>
      </x:c>
      <x:c r="D63" s="67" t="str">
        <x:v>Señal baja pero plausible</x:v>
      </x:c>
      <x:c r="E63" s="67" t="str">
        <x:v>Deriva o error de calibración</x:v>
      </x:c>
      <x:c r="F63" s="67" t="str">
        <x:v>Control calienta más de lo seguro</x:v>
      </x:c>
      <x:c r="G63" s="68" t="n">
        <x:v>3</x:v>
      </x:c>
      <x:c r="H63" s="68" t="n">
        <x:v>5</x:v>
      </x:c>
      <x:c r="I63" s="68" t="n">
        <x:f>G63*H63</x:f>
        <x:v>15</x:v>
      </x:c>
      <x:c r="J63" s="67" t="str">
        <x:v>Comparación con instrumento patrón y TSHH independiente</x:v>
      </x:c>
    </x:row>
    <x:row r="64" ht="59" customHeight="1">
      <x:c r="A64" s="75" t="str">
        <x:v>N07 · Transmisor TT-23</x:v>
      </x:c>
      <x:c r="B64" s="67" t="str">
        <x:v>INVERSO</x:v>
      </x:c>
      <x:c r="C64" s="67" t="str">
        <x:v>Señal 4–20 mA PV</x:v>
      </x:c>
      <x:c r="D64" s="67" t="str">
        <x:v>Señal interpretada al revés</x:v>
      </x:c>
      <x:c r="E64" s="67" t="str">
        <x:v>Escalamiento invertido</x:v>
      </x:c>
      <x:c r="F64" s="67" t="str">
        <x:v>Acción incorrecta del PID</x:v>
      </x:c>
      <x:c r="G64" s="68" t="n">
        <x:v>2</x:v>
      </x:c>
      <x:c r="H64" s="68" t="n">
        <x:v>5</x:v>
      </x:c>
      <x:c r="I64" s="68" t="n">
        <x:f>G64*H64</x:f>
        <x:v>10</x:v>
      </x:c>
      <x:c r="J64" s="67" t="str">
        <x:v>Ensayar equivalencia 4 mA=0 °C; 20 mA=150 °C</x:v>
      </x:c>
    </x:row>
    <x:row r="65" ht="59" customHeight="1">
      <x:c r="A65" s="75" t="str">
        <x:v>N07 · Transmisor TT-23</x:v>
      </x:c>
      <x:c r="B65" s="67" t="str">
        <x:v>ADEMÁS DE</x:v>
      </x:c>
      <x:c r="C65" s="67" t="str">
        <x:v>Señal 4–20 mA PV</x:v>
      </x:c>
      <x:c r="D65" s="67" t="str">
        <x:v>Señal con interferencia</x:v>
      </x:c>
      <x:c r="E65" s="67" t="str">
        <x:v>EMI de potencia SSR</x:v>
      </x:c>
      <x:c r="F65" s="67" t="str">
        <x:v>Oscilación y alarmas espurias</x:v>
      </x:c>
      <x:c r="G65" s="68" t="n">
        <x:v>3</x:v>
      </x:c>
      <x:c r="H65" s="68" t="n">
        <x:v>3</x:v>
      </x:c>
      <x:c r="I65" s="68" t="n">
        <x:f>G65*H65</x:f>
        <x:v>9</x:v>
      </x:c>
      <x:c r="J65" s="67" t="str">
        <x:v>Cableado y apantallamiento conforme manual; filtros</x:v>
      </x:c>
    </x:row>
    <x:row r="66" ht="59" customHeight="1">
      <x:c r="A66" s="75" t="str">
        <x:v>N07 · Transmisor TT-23</x:v>
      </x:c>
      <x:c r="B66" s="67" t="str">
        <x:v>PARTE DE</x:v>
      </x:c>
      <x:c r="C66" s="67" t="str">
        <x:v>Señal 4–20 mA PV</x:v>
      </x:c>
      <x:c r="D66" s="67" t="str">
        <x:v>Falta parte del rango dinámico</x:v>
      </x:c>
      <x:c r="E66" s="67" t="str">
        <x:v>Transmisor configurado con otro span</x:v>
      </x:c>
      <x:c r="F66" s="67" t="str">
        <x:v>No se detectan extremos térmicos</x:v>
      </x:c>
      <x:c r="G66" s="68" t="n">
        <x:v>3</x:v>
      </x:c>
      <x:c r="H66" s="68" t="n">
        <x:v>4</x:v>
      </x:c>
      <x:c r="I66" s="68" t="n">
        <x:f>G66*H66</x:f>
        <x:v>12</x:v>
      </x:c>
      <x:c r="J66" s="67" t="str">
        <x:v>Comprobar configuración exacta y escalamiento</x:v>
      </x:c>
    </x:row>
    <x:row r="67" ht="59" customHeight="1">
      <x:c r="A67" s="75" t="str">
        <x:v>N07 · Transmisor TT-23</x:v>
      </x:c>
      <x:c r="B67" s="67" t="str">
        <x:v>OTRO QUE</x:v>
      </x:c>
      <x:c r="C67" s="67" t="str">
        <x:v>Señal 4–20 mA PV</x:v>
      </x:c>
      <x:c r="D67" s="67" t="str">
        <x:v>Transmisor de rango distinto</x:v>
      </x:c>
      <x:c r="E67" s="67" t="str">
        <x:v>Componente entregado equivocado</x:v>
      </x:c>
      <x:c r="F67" s="67" t="str">
        <x:v>Lecturas sistemáticamente falsas</x:v>
      </x:c>
      <x:c r="G67" s="68" t="n">
        <x:v>3</x:v>
      </x:c>
      <x:c r="H67" s="68" t="n">
        <x:v>4</x:v>
      </x:c>
      <x:c r="I67" s="68" t="n">
        <x:f>G67*H67</x:f>
        <x:v>12</x:v>
      </x:c>
      <x:c r="J67" s="67" t="str">
        <x:v>Inspección recepción y ficha técnica</x:v>
      </x:c>
    </x:row>
    <x:row r="68" ht="59" customHeight="1">
      <x:c r="A68" s="75" t="str">
        <x:v>N07 · Transmisor TT-23</x:v>
      </x:c>
      <x:c r="B68" s="67" t="str">
        <x:v>ANTES</x:v>
      </x:c>
      <x:c r="C68" s="67" t="str">
        <x:v>Señal 4–20 mA PV</x:v>
      </x:c>
      <x:c r="D68" s="67" t="str">
        <x:v>Señal llega antes de habilitar entradas</x:v>
      </x:c>
      <x:c r="E68" s="67" t="str">
        <x:v>Conexionado en caliente</x:v>
      </x:c>
      <x:c r="F68" s="67" t="str">
        <x:v>Daño de módulo AI</x:v>
      </x:c>
      <x:c r="G68" s="68" t="n">
        <x:v>2</x:v>
      </x:c>
      <x:c r="H68" s="68" t="n">
        <x:v>4</x:v>
      </x:c>
      <x:c r="I68" s="68" t="n">
        <x:f>G68*H68</x:f>
        <x:v>8</x:v>
      </x:c>
      <x:c r="J68" s="67" t="str">
        <x:v>Prueba desenergizada e I/O check</x:v>
      </x:c>
    </x:row>
    <x:row r="69" ht="59" customHeight="1">
      <x:c r="A69" s="75" t="str">
        <x:v>N07 · Transmisor TT-23</x:v>
      </x:c>
      <x:c r="B69" s="67" t="str">
        <x:v>DESPUÉS</x:v>
      </x:c>
      <x:c r="C69" s="67" t="str">
        <x:v>Señal 4–20 mA PV</x:v>
      </x:c>
      <x:c r="D69" s="67" t="str">
        <x:v>Señal permanece tras desconectar sensor</x:v>
      </x:c>
      <x:c r="E69" s="67" t="str">
        <x:v>Valor mantenido en PLC</x:v>
      </x:c>
      <x:c r="F69" s="67" t="str">
        <x:v>Diagnóstico no detecta pérdida PV</x:v>
      </x:c>
      <x:c r="G69" s="68" t="n">
        <x:v>3</x:v>
      </x:c>
      <x:c r="H69" s="68" t="n">
        <x:v>5</x:v>
      </x:c>
      <x:c r="I69" s="68" t="n">
        <x:f>G69*H69</x:f>
        <x:v>15</x:v>
      </x:c>
      <x:c r="J69" s="67" t="str">
        <x:v>Probar desconexión controlada y fallo seguro</x:v>
      </x:c>
    </x:row>
    <x:row r="70" ht="59" customHeight="1">
      <x:c r="A70" s="74" t="str">
        <x:v>N08 · Módulos analógicos PLC</x:v>
      </x:c>
      <x:c r="B70" s="70" t="str">
        <x:v>NO</x:v>
      </x:c>
      <x:c r="C70" s="70" t="str">
        <x:v>Conversión AI/AO</x:v>
      </x:c>
      <x:c r="D70" s="70" t="str">
        <x:v>No recibe PV o no entrega MV</x:v>
      </x:c>
      <x:c r="E70" s="70" t="str">
        <x:v>Módulo/canal sin configurar</x:v>
      </x:c>
      <x:c r="F70" s="70" t="str">
        <x:v>Sin control de temperatura</x:v>
      </x:c>
      <x:c r="G70" s="71" t="n">
        <x:v>3</x:v>
      </x:c>
      <x:c r="H70" s="71" t="n">
        <x:v>4</x:v>
      </x:c>
      <x:c r="I70" s="71" t="n">
        <x:f>G70*H70</x:f>
        <x:v>12</x:v>
      </x:c>
      <x:c r="J70" s="70" t="str">
        <x:v>Verificar hardware, direccionamiento y diagnósticos</x:v>
      </x:c>
    </x:row>
    <x:row r="71" ht="59" customHeight="1">
      <x:c r="A71" s="75" t="str">
        <x:v>N08 · Módulos analógicos PLC</x:v>
      </x:c>
      <x:c r="B71" s="67" t="str">
        <x:v>MÁS</x:v>
      </x:c>
      <x:c r="C71" s="67" t="str">
        <x:v>Conversión AI/AO</x:v>
      </x:c>
      <x:c r="D71" s="67" t="str">
        <x:v>AO manda corriente excesiva</x:v>
      </x:c>
      <x:c r="E71" s="67" t="str">
        <x:v>Escala o salida averiada</x:v>
      </x:c>
      <x:c r="F71" s="67" t="str">
        <x:v>SSR ordena potencia alta</x:v>
      </x:c>
      <x:c r="G71" s="68" t="n">
        <x:v>3</x:v>
      </x:c>
      <x:c r="H71" s="68" t="n">
        <x:v>5</x:v>
      </x:c>
      <x:c r="I71" s="68" t="n">
        <x:f>G71*H71</x:f>
        <x:v>15</x:v>
      </x:c>
      <x:c r="J71" s="67" t="str">
        <x:v>Limitar mando, verificar AO y mantener corte TSHH/K-01</x:v>
      </x:c>
    </x:row>
    <x:row r="72" ht="59" customHeight="1">
      <x:c r="A72" s="75" t="str">
        <x:v>N08 · Módulos analógicos PLC</x:v>
      </x:c>
      <x:c r="B72" s="67" t="str">
        <x:v>MENOS</x:v>
      </x:c>
      <x:c r="C72" s="67" t="str">
        <x:v>Conversión AI/AO</x:v>
      </x:c>
      <x:c r="D72" s="67" t="str">
        <x:v>AI/AO indica menos del valor real</x:v>
      </x:c>
      <x:c r="E72" s="67" t="str">
        <x:v>Error de parametrización de rango</x:v>
      </x:c>
      <x:c r="F72" s="67" t="str">
        <x:v>Sobretemperatura o calefacción insuficiente</x:v>
      </x:c>
      <x:c r="G72" s="68" t="n">
        <x:v>3</x:v>
      </x:c>
      <x:c r="H72" s="68" t="n">
        <x:v>4</x:v>
      </x:c>
      <x:c r="I72" s="68" t="n">
        <x:f>G72*H72</x:f>
        <x:v>12</x:v>
      </x:c>
      <x:c r="J72" s="67" t="str">
        <x:v>Pruebas de lazo con fuente/calibrador 4–20 mA</x:v>
      </x:c>
    </x:row>
    <x:row r="73" ht="59" customHeight="1">
      <x:c r="A73" s="75" t="str">
        <x:v>N08 · Módulos analógicos PLC</x:v>
      </x:c>
      <x:c r="B73" s="67" t="str">
        <x:v>INVERSO</x:v>
      </x:c>
      <x:c r="C73" s="67" t="str">
        <x:v>Conversión AI/AO</x:v>
      </x:c>
      <x:c r="D73" s="67" t="str">
        <x:v>Escalamiento invertido</x:v>
      </x:c>
      <x:c r="E73" s="67" t="str">
        <x:v>Valores bajo/alto intercambiados</x:v>
      </x:c>
      <x:c r="F73" s="67" t="str">
        <x:v>Acción inversa de calefacción</x:v>
      </x:c>
      <x:c r="G73" s="68" t="n">
        <x:v>3</x:v>
      </x:c>
      <x:c r="H73" s="68" t="n">
        <x:v>5</x:v>
      </x:c>
      <x:c r="I73" s="68" t="n">
        <x:f>G73*H73</x:f>
        <x:v>15</x:v>
      </x:c>
      <x:c r="J73" s="67" t="str">
        <x:v>Validar puntos extremos con instrumentos</x:v>
      </x:c>
    </x:row>
    <x:row r="74" ht="59" customHeight="1">
      <x:c r="A74" s="75" t="str">
        <x:v>N08 · Módulos analógicos PLC</x:v>
      </x:c>
      <x:c r="B74" s="67" t="str">
        <x:v>ADEMÁS DE</x:v>
      </x:c>
      <x:c r="C74" s="67" t="str">
        <x:v>Conversión AI/AO</x:v>
      </x:c>
      <x:c r="D74" s="67" t="str">
        <x:v>Conversiones y lecturas intermitentes</x:v>
      </x:c>
      <x:c r="E74" s="67" t="str">
        <x:v>Ruido, terminal floja</x:v>
      </x:c>
      <x:c r="F74" s="67" t="str">
        <x:v>PID errático</x:v>
      </x:c>
      <x:c r="G74" s="68" t="n">
        <x:v>3</x:v>
      </x:c>
      <x:c r="H74" s="68" t="n">
        <x:v>3</x:v>
      </x:c>
      <x:c r="I74" s="68" t="n">
        <x:f>G74*H74</x:f>
        <x:v>9</x:v>
      </x:c>
      <x:c r="J74" s="67" t="str">
        <x:v>Ruteo analógico, prueba de estabilidad y tierras</x:v>
      </x:c>
    </x:row>
    <x:row r="75" ht="59" customHeight="1">
      <x:c r="A75" s="75" t="str">
        <x:v>N08 · Módulos analógicos PLC</x:v>
      </x:c>
      <x:c r="B75" s="67" t="str">
        <x:v>PARTE DE</x:v>
      </x:c>
      <x:c r="C75" s="67" t="str">
        <x:v>Conversión AI/AO</x:v>
      </x:c>
      <x:c r="D75" s="67" t="str">
        <x:v>Solo algunos canales funcionan</x:v>
      </x:c>
      <x:c r="E75" s="67" t="str">
        <x:v>Módulo insuficiente/falla parcial</x:v>
      </x:c>
      <x:c r="F75" s="67" t="str">
        <x:v>Pérdida de funciones de control</x:v>
      </x:c>
      <x:c r="G75" s="68" t="n">
        <x:v>3</x:v>
      </x:c>
      <x:c r="H75" s="68" t="n">
        <x:v>4</x:v>
      </x:c>
      <x:c r="I75" s="68" t="n">
        <x:f>G75*H75</x:f>
        <x:v>12</x:v>
      </x:c>
      <x:c r="J75" s="67" t="str">
        <x:v>Verificar canales reales de AI/AO y lista I/O</x:v>
      </x:c>
    </x:row>
    <x:row r="76" ht="59" customHeight="1">
      <x:c r="A76" s="75" t="str">
        <x:v>N08 · Módulos analógicos PLC</x:v>
      </x:c>
      <x:c r="B76" s="67" t="str">
        <x:v>OTRO QUE</x:v>
      </x:c>
      <x:c r="C76" s="67" t="str">
        <x:v>Conversión AI/AO</x:v>
      </x:c>
      <x:c r="D76" s="67" t="str">
        <x:v>Tipo de canal distinto del necesario</x:v>
      </x:c>
      <x:c r="E76" s="67" t="str">
        <x:v>Entrada 0–10 V usada para lazo corriente</x:v>
      </x:c>
      <x:c r="F76" s="67" t="str">
        <x:v>Medición/mando no operativo</x:v>
      </x:c>
      <x:c r="G76" s="68" t="n">
        <x:v>4</x:v>
      </x:c>
      <x:c r="H76" s="68" t="n">
        <x:v>4</x:v>
      </x:c>
      <x:c r="I76" s="68" t="n">
        <x:f>G76*H76</x:f>
        <x:v>16</x:v>
      </x:c>
      <x:c r="J76" s="67" t="str">
        <x:v>Incluir módulos compatibles 4–20 mA y validar referencias</x:v>
      </x:c>
    </x:row>
    <x:row r="77" ht="59" customHeight="1">
      <x:c r="A77" s="75" t="str">
        <x:v>N08 · Módulos analógicos PLC</x:v>
      </x:c>
      <x:c r="B77" s="67" t="str">
        <x:v>ANTES</x:v>
      </x:c>
      <x:c r="C77" s="67" t="str">
        <x:v>Conversión AI/AO</x:v>
      </x:c>
      <x:c r="D77" s="67" t="str">
        <x:v>AO habilitada antes de permissivos</x:v>
      </x:c>
      <x:c r="E77" s="67" t="str">
        <x:v>Código/OB de arranque</x:v>
      </x:c>
      <x:c r="F77" s="67" t="str">
        <x:v>Activación SSR intempestiva</x:v>
      </x:c>
      <x:c r="G77" s="68" t="n">
        <x:v>3</x:v>
      </x:c>
      <x:c r="H77" s="68" t="n">
        <x:v>5</x:v>
      </x:c>
      <x:c r="I77" s="68" t="n">
        <x:f>G77*H77</x:f>
        <x:v>15</x:v>
      </x:c>
      <x:c r="J77" s="67" t="str">
        <x:v>Inicializar MV segura y bloquear K-01 hasta permisos</x:v>
      </x:c>
    </x:row>
    <x:row r="78" ht="59" customHeight="1">
      <x:c r="A78" s="75" t="str">
        <x:v>N08 · Módulos analógicos PLC</x:v>
      </x:c>
      <x:c r="B78" s="67" t="str">
        <x:v>DESPUÉS</x:v>
      </x:c>
      <x:c r="C78" s="67" t="str">
        <x:v>Conversión AI/AO</x:v>
      </x:c>
      <x:c r="D78" s="67" t="str">
        <x:v>Salida retiene valor al ir PLC a STOP</x:v>
      </x:c>
      <x:c r="E78" s="67" t="str">
        <x:v>Comportamiento de canal no configurado</x:v>
      </x:c>
      <x:c r="F78" s="67" t="str">
        <x:v>SSR puede seguir aportando calor</x:v>
      </x:c>
      <x:c r="G78" s="68" t="n">
        <x:v>3</x:v>
      </x:c>
      <x:c r="H78" s="68" t="n">
        <x:v>5</x:v>
      </x:c>
      <x:c r="I78" s="68" t="n">
        <x:f>G78*H78</x:f>
        <x:v>15</x:v>
      </x:c>
      <x:c r="J78" s="67" t="str">
        <x:v>Parametrizar reacción STOP y comprobar corte de potencia</x:v>
      </x:c>
    </x:row>
    <x:row r="79" ht="59" customHeight="1">
      <x:c r="A79" s="74" t="str">
        <x:v>N09 · Control PID TIC-23</x:v>
      </x:c>
      <x:c r="B79" s="70" t="str">
        <x:v>NO</x:v>
      </x:c>
      <x:c r="C79" s="70" t="str">
        <x:v>Consigna y regulación</x:v>
      </x:c>
      <x:c r="D79" s="70" t="str">
        <x:v>PID no ejecuta</x:v>
      </x:c>
      <x:c r="E79" s="70" t="str">
        <x:v>Bloque no llamado o CPU STOP</x:v>
      </x:c>
      <x:c r="F79" s="70" t="str">
        <x:v>Calefacción sin regulación</x:v>
      </x:c>
      <x:c r="G79" s="71" t="n">
        <x:v>3</x:v>
      </x:c>
      <x:c r="H79" s="71" t="n">
        <x:v>5</x:v>
      </x:c>
      <x:c r="I79" s="71" t="n">
        <x:f>G79*H79</x:f>
        <x:v>15</x:v>
      </x:c>
      <x:c r="J79" s="70" t="str">
        <x:v>Desenergizar K-01 ante fallo de control y probar watchdog</x:v>
      </x:c>
    </x:row>
    <x:row r="80" ht="59" customHeight="1">
      <x:c r="A80" s="75" t="str">
        <x:v>N09 · Control PID TIC-23</x:v>
      </x:c>
      <x:c r="B80" s="67" t="str">
        <x:v>MÁS</x:v>
      </x:c>
      <x:c r="C80" s="67" t="str">
        <x:v>Consigna y regulación</x:v>
      </x:c>
      <x:c r="D80" s="67" t="str">
        <x:v>Salida PID saturada alta</x:v>
      </x:c>
      <x:c r="E80" s="67" t="str">
        <x:v>Parámetros mal ajustados o PV falsa</x:v>
      </x:c>
      <x:c r="F80" s="67" t="str">
        <x:v>Sobretemperatura</x:v>
      </x:c>
      <x:c r="G80" s="68" t="n">
        <x:v>3</x:v>
      </x:c>
      <x:c r="H80" s="68" t="n">
        <x:v>5</x:v>
      </x:c>
      <x:c r="I80" s="68" t="n">
        <x:f>G80*H80</x:f>
        <x:v>15</x:v>
      </x:c>
      <x:c r="J80" s="67" t="str">
        <x:v>Limitar MV y habilitar TSHH independiente</x:v>
      </x:c>
    </x:row>
    <x:row r="81" ht="59" customHeight="1">
      <x:c r="A81" s="75" t="str">
        <x:v>N09 · Control PID TIC-23</x:v>
      </x:c>
      <x:c r="B81" s="67" t="str">
        <x:v>MENOS</x:v>
      </x:c>
      <x:c r="C81" s="67" t="str">
        <x:v>Consigna y regulación</x:v>
      </x:c>
      <x:c r="D81" s="67" t="str">
        <x:v>Salida insuficiente</x:v>
      </x:c>
      <x:c r="E81" s="67" t="str">
        <x:v>Kp/Ti inadecuados, límites bajos</x:v>
      </x:c>
      <x:c r="F81" s="67" t="str">
        <x:v>No alcanza consigna</x:v>
      </x:c>
      <x:c r="G81" s="68" t="n">
        <x:v>3</x:v>
      </x:c>
      <x:c r="H81" s="68" t="n">
        <x:v>3</x:v>
      </x:c>
      <x:c r="I81" s="68" t="n">
        <x:f>G81*H81</x:f>
        <x:v>9</x:v>
      </x:c>
      <x:c r="J81" s="67" t="str">
        <x:v>Sintonizar con ensayos seguros sin barniz</x:v>
      </x:c>
    </x:row>
    <x:row r="82" ht="59" customHeight="1">
      <x:c r="A82" s="75" t="str">
        <x:v>N09 · Control PID TIC-23</x:v>
      </x:c>
      <x:c r="B82" s="67" t="str">
        <x:v>INVERSO</x:v>
      </x:c>
      <x:c r="C82" s="67" t="str">
        <x:v>Consigna y regulación</x:v>
      </x:c>
      <x:c r="D82" s="67" t="str">
        <x:v>Acción de control invertida</x:v>
      </x:c>
      <x:c r="E82" s="67" t="str">
        <x:v>Sentido del regulador incorrecto</x:v>
      </x:c>
      <x:c r="F82" s="67" t="str">
        <x:v>Calentamiento descontrolado</x:v>
      </x:c>
      <x:c r="G82" s="68" t="n">
        <x:v>3</x:v>
      </x:c>
      <x:c r="H82" s="68" t="n">
        <x:v>5</x:v>
      </x:c>
      <x:c r="I82" s="68" t="n">
        <x:f>G82*H82</x:f>
        <x:v>15</x:v>
      </x:c>
      <x:c r="J82" s="67" t="str">
        <x:v>Verificar acción directa/inversa antes de energizar</x:v>
      </x:c>
    </x:row>
    <x:row r="83" ht="59" customHeight="1">
      <x:c r="A83" s="75" t="str">
        <x:v>N09 · Control PID TIC-23</x:v>
      </x:c>
      <x:c r="B83" s="67" t="str">
        <x:v>ADEMÁS DE</x:v>
      </x:c>
      <x:c r="C83" s="67" t="str">
        <x:v>Consigna y regulación</x:v>
      </x:c>
      <x:c r="D83" s="67" t="str">
        <x:v>Oscilaciones o sobreimpulso</x:v>
      </x:c>
      <x:c r="E83" s="67" t="str">
        <x:v>Kp, Ti, Td mal ajustados</x:v>
      </x:c>
      <x:c r="F83" s="67" t="str">
        <x:v>Daño del barniz y fatiga térmica</x:v>
      </x:c>
      <x:c r="G83" s="68" t="n">
        <x:v>3</x:v>
      </x:c>
      <x:c r="H83" s="68" t="n">
        <x:v>4</x:v>
      </x:c>
      <x:c r="I83" s="68" t="n">
        <x:f>G83*H83</x:f>
        <x:v>12</x:v>
      </x:c>
      <x:c r="J83" s="67" t="str">
        <x:v>Sintonía gradual, anti-windup y registro de tendencias</x:v>
      </x:c>
    </x:row>
    <x:row r="84" ht="59" customHeight="1">
      <x:c r="A84" s="75" t="str">
        <x:v>N09 · Control PID TIC-23</x:v>
      </x:c>
      <x:c r="B84" s="67" t="str">
        <x:v>PARTE DE</x:v>
      </x:c>
      <x:c r="C84" s="67" t="str">
        <x:v>Consigna y regulación</x:v>
      </x:c>
      <x:c r="D84" s="67" t="str">
        <x:v>PID regula solo parte del proceso</x:v>
      </x:c>
      <x:c r="E84" s="67" t="str">
        <x:v>Secuencia no habilita etapas correctas</x:v>
      </x:c>
      <x:c r="F84" s="67" t="str">
        <x:v>Curado inestable</x:v>
      </x:c>
      <x:c r="G84" s="68" t="n">
        <x:v>3</x:v>
      </x:c>
      <x:c r="H84" s="68" t="n">
        <x:v>4</x:v>
      </x:c>
      <x:c r="I84" s="68" t="n">
        <x:f>G84*H84</x:f>
        <x:v>12</x:v>
      </x:c>
      <x:c r="J84" s="67" t="str">
        <x:v>Definir estados y condiciones de activación por fase</x:v>
      </x:c>
    </x:row>
    <x:row r="85" ht="59" customHeight="1">
      <x:c r="A85" s="75" t="str">
        <x:v>N09 · Control PID TIC-23</x:v>
      </x:c>
      <x:c r="B85" s="67" t="str">
        <x:v>OTRO QUE</x:v>
      </x:c>
      <x:c r="C85" s="67" t="str">
        <x:v>Consigna y regulación</x:v>
      </x:c>
      <x:c r="D85" s="67" t="str">
        <x:v>PID usa PV distinta de aire PT100</x:v>
      </x:c>
      <x:c r="E85" s="67" t="str">
        <x:v>Tag incorrecto o simulación retenida</x:v>
      </x:c>
      <x:c r="F85" s="67" t="str">
        <x:v>Control sin correlación con proceso</x:v>
      </x:c>
      <x:c r="G85" s="68" t="n">
        <x:v>3</x:v>
      </x:c>
      <x:c r="H85" s="68" t="n">
        <x:v>5</x:v>
      </x:c>
      <x:c r="I85" s="68" t="n">
        <x:f>G85*H85</x:f>
        <x:v>15</x:v>
      </x:c>
      <x:c r="J85" s="67" t="str">
        <x:v>Revisar tags y pruebas punto a punto</x:v>
      </x:c>
    </x:row>
    <x:row r="86" ht="59" customHeight="1">
      <x:c r="A86" s="75" t="str">
        <x:v>N09 · Control PID TIC-23</x:v>
      </x:c>
      <x:c r="B86" s="67" t="str">
        <x:v>ANTES</x:v>
      </x:c>
      <x:c r="C86" s="67" t="str">
        <x:v>Consigna y regulación</x:v>
      </x:c>
      <x:c r="D86" s="67" t="str">
        <x:v>PID entra antes de medición válida</x:v>
      </x:c>
      <x:c r="E86" s="67" t="str">
        <x:v>Permisivo incompleto</x:v>
      </x:c>
      <x:c r="F86" s="67" t="str">
        <x:v>Mando errático inicial</x:v>
      </x:c>
      <x:c r="G86" s="68" t="n">
        <x:v>3</x:v>
      </x:c>
      <x:c r="H86" s="68" t="n">
        <x:v>5</x:v>
      </x:c>
      <x:c r="I86" s="68" t="n">
        <x:f>G86*H86</x:f>
        <x:v>15</x:v>
      </x:c>
      <x:c r="J86" s="67" t="str">
        <x:v>Validar PV y estado antes de habilitar regulación</x:v>
      </x:c>
    </x:row>
    <x:row r="87" ht="59" customHeight="1">
      <x:c r="A87" s="75" t="str">
        <x:v>N09 · Control PID TIC-23</x:v>
      </x:c>
      <x:c r="B87" s="67" t="str">
        <x:v>DESPUÉS</x:v>
      </x:c>
      <x:c r="C87" s="67" t="str">
        <x:v>Consigna y regulación</x:v>
      </x:c>
      <x:c r="D87" s="67" t="str">
        <x:v>PID no desactiva al finalizar</x:v>
      </x:c>
      <x:c r="E87" s="67" t="str">
        <x:v>Salida retenida o secuencia sin reset</x:v>
      </x:c>
      <x:c r="F87" s="67" t="str">
        <x:v>Calentamiento prolongado</x:v>
      </x:c>
      <x:c r="G87" s="68" t="n">
        <x:v>3</x:v>
      </x:c>
      <x:c r="H87" s="68" t="n">
        <x:v>5</x:v>
      </x:c>
      <x:c r="I87" s="68" t="n">
        <x:f>G87*H87</x:f>
        <x:v>15</x:v>
      </x:c>
      <x:c r="J87" s="67" t="str">
        <x:v>Forzar MV segura y abrir K-01 en finalización/falla</x:v>
      </x:c>
    </x:row>
    <x:row r="88" ht="59" customHeight="1">
      <x:c r="A88" s="74" t="str">
        <x:v>N10 · Secuencia y temporizador</x:v>
      </x:c>
      <x:c r="B88" s="70" t="str">
        <x:v>NO</x:v>
      </x:c>
      <x:c r="C88" s="70" t="str">
        <x:v>Tiempo de curado</x:v>
      </x:c>
      <x:c r="D88" s="70" t="str">
        <x:v>No inicia temporización</x:v>
      </x:c>
      <x:c r="E88" s="70" t="str">
        <x:v>Falla de TON o condición de arranque</x:v>
      </x:c>
      <x:c r="F88" s="70" t="str">
        <x:v>Lote detenido indefinidamente</x:v>
      </x:c>
      <x:c r="G88" s="71" t="n">
        <x:v>3</x:v>
      </x:c>
      <x:c r="H88" s="71" t="n">
        <x:v>3</x:v>
      </x:c>
      <x:c r="I88" s="71" t="n">
        <x:f>G88*H88</x:f>
        <x:v>9</x:v>
      </x:c>
      <x:c r="J88" s="70" t="str">
        <x:v>Verificar disparo al alcanzar consigna PV aire</x:v>
      </x:c>
    </x:row>
    <x:row r="89" ht="59" customHeight="1">
      <x:c r="A89" s="75" t="str">
        <x:v>N10 · Secuencia y temporizador</x:v>
      </x:c>
      <x:c r="B89" s="67" t="str">
        <x:v>MÁS</x:v>
      </x:c>
      <x:c r="C89" s="67" t="str">
        <x:v>Tiempo de curado</x:v>
      </x:c>
      <x:c r="D89" s="67" t="str">
        <x:v>Temporización superior a programada</x:v>
      </x:c>
      <x:c r="E89" s="67" t="str">
        <x:v>Reinicio accidental del contador</x:v>
      </x:c>
      <x:c r="F89" s="67" t="str">
        <x:v>Sobreexposición de bobinado</x:v>
      </x:c>
      <x:c r="G89" s="68" t="n">
        <x:v>3</x:v>
      </x:c>
      <x:c r="H89" s="68" t="n">
        <x:v>4</x:v>
      </x:c>
      <x:c r="I89" s="68" t="n">
        <x:f>G89*H89</x:f>
        <x:v>12</x:v>
      </x:c>
      <x:c r="J89" s="67" t="str">
        <x:v>Registrar tiempo efectivo y topes validados</x:v>
      </x:c>
    </x:row>
    <x:row r="90" ht="59" customHeight="1">
      <x:c r="A90" s="75" t="str">
        <x:v>N10 · Secuencia y temporizador</x:v>
      </x:c>
      <x:c r="B90" s="67" t="str">
        <x:v>MENOS</x:v>
      </x:c>
      <x:c r="C90" s="67" t="str">
        <x:v>Tiempo de curado</x:v>
      </x:c>
      <x:c r="D90" s="67" t="str">
        <x:v>Temporización insuficiente</x:v>
      </x:c>
      <x:c r="E90" s="67" t="str">
        <x:v>Cuenta desde inicio de calentamiento</x:v>
      </x:c>
      <x:c r="F90" s="67" t="str">
        <x:v>Curado incompleto</x:v>
      </x:c>
      <x:c r="G90" s="68" t="n">
        <x:v>4</x:v>
      </x:c>
      <x:c r="H90" s="68" t="n">
        <x:v>3</x:v>
      </x:c>
      <x:c r="I90" s="68" t="n">
        <x:f>G90*H90</x:f>
        <x:v>12</x:v>
      </x:c>
      <x:c r="J90" s="67" t="str">
        <x:v>Iniciar tiempo sólo al cumplir criterio térmico establecido</x:v>
      </x:c>
    </x:row>
    <x:row r="91" ht="59" customHeight="1">
      <x:c r="A91" s="75" t="str">
        <x:v>N10 · Secuencia y temporizador</x:v>
      </x:c>
      <x:c r="B91" s="67" t="str">
        <x:v>INVERSO</x:v>
      </x:c>
      <x:c r="C91" s="67" t="str">
        <x:v>Tiempo de curado</x:v>
      </x:c>
      <x:c r="D91" s="67" t="str">
        <x:v>Conteo decrementa o retrocede</x:v>
      </x:c>
      <x:c r="E91" s="67" t="str">
        <x:v>Error de cómputo o desbordamiento</x:v>
      </x:c>
      <x:c r="F91" s="67" t="str">
        <x:v>Finalización imprevista</x:v>
      </x:c>
      <x:c r="G91" s="68" t="n">
        <x:v>2</x:v>
      </x:c>
      <x:c r="H91" s="68" t="n">
        <x:v>3</x:v>
      </x:c>
      <x:c r="I91" s="68" t="n">
        <x:f>G91*H91</x:f>
        <x:v>6</x:v>
      </x:c>
      <x:c r="J91" s="67" t="str">
        <x:v>Probar TON y conversiones de tiempo</x:v>
      </x:c>
    </x:row>
    <x:row r="92" ht="59" customHeight="1">
      <x:c r="A92" s="75" t="str">
        <x:v>N10 · Secuencia y temporizador</x:v>
      </x:c>
      <x:c r="B92" s="67" t="str">
        <x:v>ADEMÁS DE</x:v>
      </x:c>
      <x:c r="C92" s="67" t="str">
        <x:v>Tiempo de curado</x:v>
      </x:c>
      <x:c r="D92" s="67" t="str">
        <x:v>Tiempo se cuenta con temperatura caída</x:v>
      </x:c>
      <x:c r="E92" s="67" t="str">
        <x:v>Sin pausa/verificación durante desviaciones</x:v>
      </x:c>
      <x:c r="F92" s="67" t="str">
        <x:v>Curado no conforme</x:v>
      </x:c>
      <x:c r="G92" s="68" t="n">
        <x:v>3</x:v>
      </x:c>
      <x:c r="H92" s="68" t="n">
        <x:v>4</x:v>
      </x:c>
      <x:c r="I92" s="68" t="n">
        <x:f>G92*H92</x:f>
        <x:v>12</x:v>
      </x:c>
      <x:c r="J92" s="67" t="str">
        <x:v>Definir tolerancia térmica y acción ante caída</x:v>
      </x:c>
    </x:row>
    <x:row r="93" ht="59" customHeight="1">
      <x:c r="A93" s="75" t="str">
        <x:v>N10 · Secuencia y temporizador</x:v>
      </x:c>
      <x:c r="B93" s="67" t="str">
        <x:v>PARTE DE</x:v>
      </x:c>
      <x:c r="C93" s="67" t="str">
        <x:v>Tiempo de curado</x:v>
      </x:c>
      <x:c r="D93" s="67" t="str">
        <x:v>Se temporiza una fase y no todas</x:v>
      </x:c>
      <x:c r="E93" s="67" t="str">
        <x:v>Estados de proceso incompletos</x:v>
      </x:c>
      <x:c r="F93" s="67" t="str">
        <x:v>Secuencia errática</x:v>
      </x:c>
      <x:c r="G93" s="68" t="n">
        <x:v>3</x:v>
      </x:c>
      <x:c r="H93" s="68" t="n">
        <x:v>4</x:v>
      </x:c>
      <x:c r="I93" s="68" t="n">
        <x:f>G93*H93</x:f>
        <x:v>12</x:v>
      </x:c>
      <x:c r="J93" s="67" t="str">
        <x:v>Implementar máquina de estados S00–S05 y prueba exhaustiva</x:v>
      </x:c>
    </x:row>
    <x:row r="94" ht="59" customHeight="1">
      <x:c r="A94" s="75" t="str">
        <x:v>N10 · Secuencia y temporizador</x:v>
      </x:c>
      <x:c r="B94" s="67" t="str">
        <x:v>OTRO QUE</x:v>
      </x:c>
      <x:c r="C94" s="67" t="str">
        <x:v>Tiempo de curado</x:v>
      </x:c>
      <x:c r="D94" s="67" t="str">
        <x:v>Se usa temporización demostrativa 5/10 min</x:v>
      </x:c>
      <x:c r="E94" s="67" t="str">
        <x:v>Parámetro antiguo del programa Ladder</x:v>
      </x:c>
      <x:c r="F94" s="67" t="str">
        <x:v>Curado insuficiente</x:v>
      </x:c>
      <x:c r="G94" s="68" t="n">
        <x:v>4</x:v>
      </x:c>
      <x:c r="H94" s="68" t="n">
        <x:v>4</x:v>
      </x:c>
      <x:c r="I94" s="68" t="n">
        <x:f>G94*H94</x:f>
        <x:v>16</x:v>
      </x:c>
      <x:c r="J94" s="67" t="str">
        <x:v>Configurar tiempo conforme a ficha del barniz; validar carga</x:v>
      </x:c>
    </x:row>
    <x:row r="95" ht="59" customHeight="1">
      <x:c r="A95" s="75" t="str">
        <x:v>N10 · Secuencia y temporizador</x:v>
      </x:c>
      <x:c r="B95" s="67" t="str">
        <x:v>ANTES</x:v>
      </x:c>
      <x:c r="C95" s="67" t="str">
        <x:v>Tiempo de curado</x:v>
      </x:c>
      <x:c r="D95" s="67" t="str">
        <x:v>Contador comienza antes de SP</x:v>
      </x:c>
      <x:c r="E95" s="67" t="str">
        <x:v>Arranque directo por Sistema_ON</x:v>
      </x:c>
      <x:c r="F95" s="67" t="str">
        <x:v>Proceso no alcanza condiciones de curado</x:v>
      </x:c>
      <x:c r="G95" s="68" t="n">
        <x:v>4</x:v>
      </x:c>
      <x:c r="H95" s="68" t="n">
        <x:v>4</x:v>
      </x:c>
      <x:c r="I95" s="68" t="n">
        <x:f>G95*H95</x:f>
        <x:v>16</x:v>
      </x:c>
      <x:c r="J95" s="67" t="str">
        <x:v>Modificar TON para arrancar después de validación de consigna</x:v>
      </x:c>
    </x:row>
    <x:row r="96" ht="59" customHeight="1">
      <x:c r="A96" s="75" t="str">
        <x:v>N10 · Secuencia y temporizador</x:v>
      </x:c>
      <x:c r="B96" s="67" t="str">
        <x:v>DESPUÉS</x:v>
      </x:c>
      <x:c r="C96" s="67" t="str">
        <x:v>Tiempo de curado</x:v>
      </x:c>
      <x:c r="D96" s="67" t="str">
        <x:v>Calefacción sigue después de tiempo cumplido</x:v>
      </x:c>
      <x:c r="E96" s="67" t="str">
        <x:v>Fallo de transición S03→S04</x:v>
      </x:c>
      <x:c r="F96" s="67" t="str">
        <x:v>Sobrecurado e incendio</x:v>
      </x:c>
      <x:c r="G96" s="68" t="n">
        <x:v>3</x:v>
      </x:c>
      <x:c r="H96" s="68" t="n">
        <x:v>5</x:v>
      </x:c>
      <x:c r="I96" s="68" t="n">
        <x:f>G96*H96</x:f>
        <x:v>15</x:v>
      </x:c>
      <x:c r="J96" s="67" t="str">
        <x:v>Probar inhibición de calefacción y transición segura a enfriamiento</x:v>
      </x:c>
    </x:row>
    <x:row r="97" ht="59" customHeight="1">
      <x:c r="A97" s="74" t="str">
        <x:v>N11 · HMI y comunicación PROFINET</x:v>
      </x:c>
      <x:c r="B97" s="70" t="str">
        <x:v>NO</x:v>
      </x:c>
      <x:c r="C97" s="70" t="str">
        <x:v>Órdenes y consignas</x:v>
      </x:c>
      <x:c r="D97" s="70" t="str">
        <x:v>No hay comunicación HMI–PLC</x:v>
      </x:c>
      <x:c r="E97" s="70" t="str">
        <x:v>Corte de cable/energía HMI</x:v>
      </x:c>
      <x:c r="F97" s="70" t="str">
        <x:v>Operador pierde supervisión</x:v>
      </x:c>
      <x:c r="G97" s="71" t="n">
        <x:v>3</x:v>
      </x:c>
      <x:c r="H97" s="71" t="n">
        <x:v>4</x:v>
      </x:c>
      <x:c r="I97" s="71" t="n">
        <x:f>G97*H97</x:f>
        <x:v>12</x:v>
      </x:c>
      <x:c r="J97" s="70" t="str">
        <x:v>Definir reacción autónoma segura y alarma de comunicación</x:v>
      </x:c>
    </x:row>
    <x:row r="98" ht="59" customHeight="1">
      <x:c r="A98" s="75" t="str">
        <x:v>N11 · HMI y comunicación PROFINET</x:v>
      </x:c>
      <x:c r="B98" s="67" t="str">
        <x:v>MÁS</x:v>
      </x:c>
      <x:c r="C98" s="67" t="str">
        <x:v>Órdenes y consignas</x:v>
      </x:c>
      <x:c r="D98" s="67" t="str">
        <x:v>Consigna demasiado alta</x:v>
      </x:c>
      <x:c r="E98" s="67" t="str">
        <x:v>Entrada de SP sin límites</x:v>
      </x:c>
      <x:c r="F98" s="67" t="str">
        <x:v>Sobretemperatura y daños</x:v>
      </x:c>
      <x:c r="G98" s="68" t="n">
        <x:v>3</x:v>
      </x:c>
      <x:c r="H98" s="68" t="n">
        <x:v>5</x:v>
      </x:c>
      <x:c r="I98" s="68" t="n">
        <x:f>G98*H98</x:f>
        <x:v>15</x:v>
      </x:c>
      <x:c r="J98" s="67" t="str">
        <x:v>Límites de SP y confirmación de cambios</x:v>
      </x:c>
    </x:row>
    <x:row r="99" ht="59" customHeight="1">
      <x:c r="A99" s="75" t="str">
        <x:v>N11 · HMI y comunicación PROFINET</x:v>
      </x:c>
      <x:c r="B99" s="67" t="str">
        <x:v>MENOS</x:v>
      </x:c>
      <x:c r="C99" s="67" t="str">
        <x:v>Órdenes y consignas</x:v>
      </x:c>
      <x:c r="D99" s="67" t="str">
        <x:v>Consigna menor de requerida</x:v>
      </x:c>
      <x:c r="E99" s="67" t="str">
        <x:v>Error de usuario</x:v>
      </x:c>
      <x:c r="F99" s="67" t="str">
        <x:v>Curado insuficiente</x:v>
      </x:c>
      <x:c r="G99" s="68" t="n">
        <x:v>3</x:v>
      </x:c>
      <x:c r="H99" s="68" t="n">
        <x:v>3</x:v>
      </x:c>
      <x:c r="I99" s="68" t="n">
        <x:f>G99*H99</x:f>
        <x:v>9</x:v>
      </x:c>
      <x:c r="J99" s="67" t="str">
        <x:v>Validación de rango y receta documentada</x:v>
      </x:c>
    </x:row>
    <x:row r="100" ht="59" customHeight="1">
      <x:c r="A100" s="75" t="str">
        <x:v>N11 · HMI y comunicación PROFINET</x:v>
      </x:c>
      <x:c r="B100" s="67" t="str">
        <x:v>INVERSO</x:v>
      </x:c>
      <x:c r="C100" s="67" t="str">
        <x:v>Órdenes y consignas</x:v>
      </x:c>
      <x:c r="D100" s="67" t="str">
        <x:v>Orden de inicio/parada invertida</x:v>
      </x:c>
      <x:c r="E100" s="67" t="str">
        <x:v>Tag equivocado</x:v>
      </x:c>
      <x:c r="F100" s="67" t="str">
        <x:v>Maniobra inesperada</x:v>
      </x:c>
      <x:c r="G100" s="68" t="n">
        <x:v>3</x:v>
      </x:c>
      <x:c r="H100" s="68" t="n">
        <x:v>5</x:v>
      </x:c>
      <x:c r="I100" s="68" t="n">
        <x:f>G100*H100</x:f>
        <x:v>15</x:v>
      </x:c>
      <x:c r="J100" s="67" t="str">
        <x:v>Validar mapeo de botones y confirmaciones</x:v>
      </x:c>
    </x:row>
    <x:row r="101" ht="59" customHeight="1">
      <x:c r="A101" s="75" t="str">
        <x:v>N11 · HMI y comunicación PROFINET</x:v>
      </x:c>
      <x:c r="B101" s="67" t="str">
        <x:v>ADEMÁS DE</x:v>
      </x:c>
      <x:c r="C101" s="67" t="str">
        <x:v>Órdenes y consignas</x:v>
      </x:c>
      <x:c r="D101" s="67" t="str">
        <x:v>HMI muestra estado distinto del real</x:v>
      </x:c>
      <x:c r="E101" s="67" t="str">
        <x:v>Tags/actualización de comunicaciones</x:v>
      </x:c>
      <x:c r="F101" s="67" t="str">
        <x:v>Operador interpreta equipo inactivo mientras calienta</x:v>
      </x:c>
      <x:c r="G101" s="68" t="n">
        <x:v>3</x:v>
      </x:c>
      <x:c r="H101" s="68" t="n">
        <x:v>4</x:v>
      </x:c>
      <x:c r="I101" s="68" t="n">
        <x:f>G101*H101</x:f>
        <x:v>12</x:v>
      </x:c>
      <x:c r="J101" s="67" t="str">
        <x:v>Indicadores derivados de estado físico cuando sea posible</x:v>
      </x:c>
    </x:row>
    <x:row r="102" ht="59" customHeight="1">
      <x:c r="A102" s="75" t="str">
        <x:v>N11 · HMI y comunicación PROFINET</x:v>
      </x:c>
      <x:c r="B102" s="67" t="str">
        <x:v>PARTE DE</x:v>
      </x:c>
      <x:c r="C102" s="67" t="str">
        <x:v>Órdenes y consignas</x:v>
      </x:c>
      <x:c r="D102" s="67" t="str">
        <x:v>Solo parte de alarmas se visualiza</x:v>
      </x:c>
      <x:c r="E102" s="67" t="str">
        <x:v>Pantallas incompletas</x:v>
      </x:c>
      <x:c r="F102" s="67" t="str">
        <x:v>Fallas pasan inadvertidas</x:v>
      </x:c>
      <x:c r="G102" s="68" t="n">
        <x:v>3</x:v>
      </x:c>
      <x:c r="H102" s="68" t="n">
        <x:v>4</x:v>
      </x:c>
      <x:c r="I102" s="68" t="n">
        <x:f>G102*H102</x:f>
        <x:v>12</x:v>
      </x:c>
      <x:c r="J102" s="67" t="str">
        <x:v>Crear matriz de alarmas y probar cada evento</x:v>
      </x:c>
    </x:row>
    <x:row r="103" ht="59" customHeight="1">
      <x:c r="A103" s="75" t="str">
        <x:v>N11 · HMI y comunicación PROFINET</x:v>
      </x:c>
      <x:c r="B103" s="67" t="str">
        <x:v>OTRO QUE</x:v>
      </x:c>
      <x:c r="C103" s="67" t="str">
        <x:v>Órdenes y consignas</x:v>
      </x:c>
      <x:c r="D103" s="67" t="str">
        <x:v>HMI usa receta o valores ajenos</x:v>
      </x:c>
      <x:c r="E103" s="67" t="str">
        <x:v>Proyecto/DB equivocado</x:v>
      </x:c>
      <x:c r="F103" s="67" t="str">
        <x:v>Calefacción no conforme</x:v>
      </x:c>
      <x:c r="G103" s="68" t="n">
        <x:v>3</x:v>
      </x:c>
      <x:c r="H103" s="68" t="n">
        <x:v>4</x:v>
      </x:c>
      <x:c r="I103" s="68" t="n">
        <x:f>G103*H103</x:f>
        <x:v>12</x:v>
      </x:c>
      <x:c r="J103" s="67" t="str">
        <x:v>Control de versiones y permisos de edición</x:v>
      </x:c>
    </x:row>
    <x:row r="104" ht="59" customHeight="1">
      <x:c r="A104" s="75" t="str">
        <x:v>N11 · HMI y comunicación PROFINET</x:v>
      </x:c>
      <x:c r="B104" s="67" t="str">
        <x:v>ANTES</x:v>
      </x:c>
      <x:c r="C104" s="67" t="str">
        <x:v>Órdenes y consignas</x:v>
      </x:c>
      <x:c r="D104" s="67" t="str">
        <x:v>Orden de inicio antes de verificación</x:v>
      </x:c>
      <x:c r="E104" s="67" t="str">
        <x:v>Operador omite checklist</x:v>
      </x:c>
      <x:c r="F104" s="67" t="str">
        <x:v>Calentamiento inseguro</x:v>
      </x:c>
      <x:c r="G104" s="68" t="n">
        <x:v>3</x:v>
      </x:c>
      <x:c r="H104" s="68" t="n">
        <x:v>5</x:v>
      </x:c>
      <x:c r="I104" s="68" t="n">
        <x:f>G104*H104</x:f>
        <x:v>15</x:v>
      </x:c>
      <x:c r="J104" s="67" t="str">
        <x:v>Permisos PLC + autorización de arranque y controles físicos</x:v>
      </x:c>
    </x:row>
    <x:row r="105" ht="59" customHeight="1">
      <x:c r="A105" s="75" t="str">
        <x:v>N11 · HMI y comunicación PROFINET</x:v>
      </x:c>
      <x:c r="B105" s="67" t="str">
        <x:v>DESPUÉS</x:v>
      </x:c>
      <x:c r="C105" s="67" t="str">
        <x:v>Órdenes y consignas</x:v>
      </x:c>
      <x:c r="D105" s="67" t="str">
        <x:v>Reinicio tras reconexión HMI</x:v>
      </x:c>
      <x:c r="E105" s="67" t="str">
        <x:v>Bits de mando retenidos</x:v>
      </x:c>
      <x:c r="F105" s="67" t="str">
        <x:v>Arranque inesperado</x:v>
      </x:c>
      <x:c r="G105" s="68" t="n">
        <x:v>3</x:v>
      </x:c>
      <x:c r="H105" s="68" t="n">
        <x:v>5</x:v>
      </x:c>
      <x:c r="I105" s="68" t="n">
        <x:f>G105*H105</x:f>
        <x:v>15</x:v>
      </x:c>
      <x:c r="J105" s="67" t="str">
        <x:v>Pulsos de arranque, reset de órdenes y nuevo inicio manual</x:v>
      </x:c>
    </x:row>
    <x:row r="106" ht="59" customHeight="1">
      <x:c r="A106" s="74" t="str">
        <x:v>N12 · Recirculación F-01</x:v>
      </x:c>
      <x:c r="B106" s="70" t="str">
        <x:v>NO</x:v>
      </x:c>
      <x:c r="C106" s="70" t="str">
        <x:v>Caudal de aire interno</x:v>
      </x:c>
      <x:c r="D106" s="70" t="str">
        <x:v>No circula aire</x:v>
      </x:c>
      <x:c r="E106" s="70" t="str">
        <x:v>Ventilador sin energía o bloqueado</x:v>
      </x:c>
      <x:c r="F106" s="70" t="str">
        <x:v>Zonas calientes; distribución desigual</x:v>
      </x:c>
      <x:c r="G106" s="71" t="n">
        <x:v>3</x:v>
      </x:c>
      <x:c r="H106" s="71" t="n">
        <x:v>4</x:v>
      </x:c>
      <x:c r="I106" s="71" t="n">
        <x:f>G106*H106</x:f>
        <x:v>12</x:v>
      </x:c>
      <x:c r="J106" s="70" t="str">
        <x:v>Verificar F-01 y evitar calefacción sin ventilación necesaria</x:v>
      </x:c>
    </x:row>
    <x:row r="107" ht="59" customHeight="1">
      <x:c r="A107" s="75" t="str">
        <x:v>N12 · Recirculación F-01</x:v>
      </x:c>
      <x:c r="B107" s="67" t="str">
        <x:v>MÁS</x:v>
      </x:c>
      <x:c r="C107" s="67" t="str">
        <x:v>Caudal de aire interno</x:v>
      </x:c>
      <x:c r="D107" s="67" t="str">
        <x:v>Caudal excesivo</x:v>
      </x:c>
      <x:c r="E107" s="67" t="str">
        <x:v>Ventilador o configuración inadecuada</x:v>
      </x:c>
      <x:c r="F107" s="67" t="str">
        <x:v>Arrastre de partículas y alteración térmica</x:v>
      </x:c>
      <x:c r="G107" s="68" t="n">
        <x:v>2</x:v>
      </x:c>
      <x:c r="H107" s="68" t="n">
        <x:v>3</x:v>
      </x:c>
      <x:c r="I107" s="68" t="n">
        <x:f>G107*H107</x:f>
        <x:v>6</x:v>
      </x:c>
      <x:c r="J107" s="67" t="str">
        <x:v>Validar capacidad del ventilador y circulación</x:v>
      </x:c>
    </x:row>
    <x:row r="108" ht="59" customHeight="1">
      <x:c r="A108" s="75" t="str">
        <x:v>N12 · Recirculación F-01</x:v>
      </x:c>
      <x:c r="B108" s="67" t="str">
        <x:v>MENOS</x:v>
      </x:c>
      <x:c r="C108" s="67" t="str">
        <x:v>Caudal de aire interno</x:v>
      </x:c>
      <x:c r="D108" s="67" t="str">
        <x:v>Caudal insuficiente</x:v>
      </x:c>
      <x:c r="E108" s="67" t="str">
        <x:v>Aspas dañadas o rejilla obstruida</x:v>
      </x:c>
      <x:c r="F108" s="67" t="str">
        <x:v>Puntos calientes en carga</x:v>
      </x:c>
      <x:c r="G108" s="68" t="n">
        <x:v>3</x:v>
      </x:c>
      <x:c r="H108" s="68" t="n">
        <x:v>4</x:v>
      </x:c>
      <x:c r="I108" s="68" t="n">
        <x:f>G108*H108</x:f>
        <x:v>12</x:v>
      </x:c>
      <x:c r="J108" s="67" t="str">
        <x:v>Inspeccionar ventilador y medir uniformidad térmica</x:v>
      </x:c>
    </x:row>
    <x:row r="109" ht="59" customHeight="1">
      <x:c r="A109" s="75" t="str">
        <x:v>N12 · Recirculación F-01</x:v>
      </x:c>
      <x:c r="B109" s="67" t="str">
        <x:v>INVERSO</x:v>
      </x:c>
      <x:c r="C109" s="67" t="str">
        <x:v>Caudal de aire interno</x:v>
      </x:c>
      <x:c r="D109" s="67" t="str">
        <x:v>Dirección de flujo inversa</x:v>
      </x:c>
      <x:c r="E109" s="67" t="str">
        <x:v>Montaje invertido</x:v>
      </x:c>
      <x:c r="F109" s="67" t="str">
        <x:v>Recirculación deficiente</x:v>
      </x:c>
      <x:c r="G109" s="68" t="n">
        <x:v>3</x:v>
      </x:c>
      <x:c r="H109" s="68" t="n">
        <x:v>3</x:v>
      </x:c>
      <x:c r="I109" s="68" t="n">
        <x:f>G109*H109</x:f>
        <x:v>9</x:v>
      </x:c>
      <x:c r="J109" s="67" t="str">
        <x:v>Verificar sentido de giro y flujo en ensayo</x:v>
      </x:c>
    </x:row>
    <x:row r="110" ht="59" customHeight="1">
      <x:c r="A110" s="75" t="str">
        <x:v>N12 · Recirculación F-01</x:v>
      </x:c>
      <x:c r="B110" s="67" t="str">
        <x:v>ADEMÁS DE</x:v>
      </x:c>
      <x:c r="C110" s="67" t="str">
        <x:v>Caudal de aire interno</x:v>
      </x:c>
      <x:c r="D110" s="67" t="str">
        <x:v>Caudal con vibración o ruido</x:v>
      </x:c>
      <x:c r="E110" s="67" t="str">
        <x:v>Fijación floja o desequilibrio</x:v>
      </x:c>
      <x:c r="F110" s="67" t="str">
        <x:v>Daño de ventilador y señal de medición</x:v>
      </x:c>
      <x:c r="G110" s="68" t="n">
        <x:v>3</x:v>
      </x:c>
      <x:c r="H110" s="68" t="n">
        <x:v>3</x:v>
      </x:c>
      <x:c r="I110" s="68" t="n">
        <x:f>G110*H110</x:f>
        <x:v>9</x:v>
      </x:c>
      <x:c r="J110" s="67" t="str">
        <x:v>Ajustar soportes y revisar vibraciones</x:v>
      </x:c>
    </x:row>
    <x:row r="111" ht="59" customHeight="1">
      <x:c r="A111" s="75" t="str">
        <x:v>N12 · Recirculación F-01</x:v>
      </x:c>
      <x:c r="B111" s="67" t="str">
        <x:v>PARTE DE</x:v>
      </x:c>
      <x:c r="C111" s="67" t="str">
        <x:v>Caudal de aire interno</x:v>
      </x:c>
      <x:c r="D111" s="67" t="str">
        <x:v>Aire solo recorre parte de cámara</x:v>
      </x:c>
      <x:c r="E111" s="67" t="str">
        <x:v>Obstrucción por bobinado o diseño</x:v>
      </x:c>
      <x:c r="F111" s="67" t="str">
        <x:v>Curado desigual</x:v>
      </x:c>
      <x:c r="G111" s="68" t="n">
        <x:v>4</x:v>
      </x:c>
      <x:c r="H111" s="68" t="n">
        <x:v>4</x:v>
      </x:c>
      <x:c r="I111" s="68" t="n">
        <x:f>G111*H111</x:f>
        <x:v>16</x:v>
      </x:c>
      <x:c r="J111" s="67" t="str">
        <x:v>Validar distribución térmica con carga representativa</x:v>
      </x:c>
    </x:row>
    <x:row r="112" ht="59" customHeight="1">
      <x:c r="A112" s="75" t="str">
        <x:v>N12 · Recirculación F-01</x:v>
      </x:c>
      <x:c r="B112" s="67" t="str">
        <x:v>OTRO QUE</x:v>
      </x:c>
      <x:c r="C112" s="67" t="str">
        <x:v>Caudal de aire interno</x:v>
      </x:c>
      <x:c r="D112" s="67" t="str">
        <x:v>Ventilador doméstico no apto para calor</x:v>
      </x:c>
      <x:c r="E112" s="67" t="str">
        <x:v>Selección de modelo no compatible</x:v>
      </x:c>
      <x:c r="F112" s="67" t="str">
        <x:v>Falla térmica e incendio</x:v>
      </x:c>
      <x:c r="G112" s="68" t="n">
        <x:v>3</x:v>
      </x:c>
      <x:c r="H112" s="68" t="n">
        <x:v>5</x:v>
      </x:c>
      <x:c r="I112" s="68" t="n">
        <x:f>G112*H112</x:f>
        <x:v>15</x:v>
      </x:c>
      <x:c r="J112" s="67" t="str">
        <x:v>Verificar clasificación térmica real y ubicación del ventilador</x:v>
      </x:c>
    </x:row>
    <x:row r="113" ht="59" customHeight="1">
      <x:c r="A113" s="75" t="str">
        <x:v>N12 · Recirculación F-01</x:v>
      </x:c>
      <x:c r="B113" s="67" t="str">
        <x:v>ANTES</x:v>
      </x:c>
      <x:c r="C113" s="67" t="str">
        <x:v>Caudal de aire interno</x:v>
      </x:c>
      <x:c r="D113" s="67" t="str">
        <x:v>F-01 arranca después de lámparas</x:v>
      </x:c>
      <x:c r="E113" s="67" t="str">
        <x:v>Lógica secuencial equivocada</x:v>
      </x:c>
      <x:c r="F113" s="67" t="str">
        <x:v>Picos térmicos y puntos calientes</x:v>
      </x:c>
      <x:c r="G113" s="68" t="n">
        <x:v>3</x:v>
      </x:c>
      <x:c r="H113" s="68" t="n">
        <x:v>4</x:v>
      </x:c>
      <x:c r="I113" s="68" t="n">
        <x:f>G113*H113</x:f>
        <x:v>12</x:v>
      </x:c>
      <x:c r="J113" s="67" t="str">
        <x:v>Establecer pre-recírculación conforme evaluación de ingeniería</x:v>
      </x:c>
    </x:row>
    <x:row r="114" ht="59" customHeight="1">
      <x:c r="A114" s="75" t="str">
        <x:v>N12 · Recirculación F-01</x:v>
      </x:c>
      <x:c r="B114" s="67" t="str">
        <x:v>DESPUÉS</x:v>
      </x:c>
      <x:c r="C114" s="67" t="str">
        <x:v>Caudal de aire interno</x:v>
      </x:c>
      <x:c r="D114" s="67" t="str">
        <x:v>F-01 se detiene antes de fin de calefacción</x:v>
      </x:c>
      <x:c r="E114" s="67" t="str">
        <x:v>Temporización/estado erróneo</x:v>
      </x:c>
      <x:c r="F114" s="67" t="str">
        <x:v>Acumulación localizada de calor</x:v>
      </x:c>
      <x:c r="G114" s="68" t="n">
        <x:v>3</x:v>
      </x:c>
      <x:c r="H114" s="68" t="n">
        <x:v>4</x:v>
      </x:c>
      <x:c r="I114" s="68" t="n">
        <x:f>G114*H114</x:f>
        <x:v>12</x:v>
      </x:c>
      <x:c r="J114" s="67" t="str">
        <x:v>Secuencia que coordine ventilación con calefacción</x:v>
      </x:c>
    </x:row>
    <x:row r="115" ht="59" customHeight="1">
      <x:c r="A115" s="74" t="str">
        <x:v>N13 · Extracción/enfriamiento F-02</x:v>
      </x:c>
      <x:c r="B115" s="70" t="str">
        <x:v>NO</x:v>
      </x:c>
      <x:c r="C115" s="70" t="str">
        <x:v>Extracción de aire</x:v>
      </x:c>
      <x:c r="D115" s="70" t="str">
        <x:v>No hay extracción</x:v>
      </x:c>
      <x:c r="E115" s="70" t="str">
        <x:v>Ventilador sin energía o bloqueado</x:v>
      </x:c>
      <x:c r="F115" s="70" t="str">
        <x:v>Enfriamiento lento y posible acumulación de vapores</x:v>
      </x:c>
      <x:c r="G115" s="71" t="n">
        <x:v>3</x:v>
      </x:c>
      <x:c r="H115" s="71" t="n">
        <x:v>5</x:v>
      </x:c>
      <x:c r="I115" s="71" t="n">
        <x:f>G115*H115</x:f>
        <x:v>15</x:v>
      </x:c>
      <x:c r="J115" s="70" t="str">
        <x:v>Verificar F-02 y evaluar extracción segura para barniz</x:v>
      </x:c>
    </x:row>
    <x:row r="116" ht="59" customHeight="1">
      <x:c r="A116" s="75" t="str">
        <x:v>N13 · Extracción/enfriamiento F-02</x:v>
      </x:c>
      <x:c r="B116" s="67" t="str">
        <x:v>MÁS</x:v>
      </x:c>
      <x:c r="C116" s="67" t="str">
        <x:v>Extracción de aire</x:v>
      </x:c>
      <x:c r="D116" s="67" t="str">
        <x:v>Caudal de extracción excesivo</x:v>
      </x:c>
      <x:c r="E116" s="67" t="str">
        <x:v>Ventilador sobredimensionado</x:v>
      </x:c>
      <x:c r="F116" s="67" t="str">
        <x:v>Pérdidas térmicas o arrastre de vapores a áreas inseguras</x:v>
      </x:c>
      <x:c r="G116" s="68" t="n">
        <x:v>3</x:v>
      </x:c>
      <x:c r="H116" s="68" t="n">
        <x:v>4</x:v>
      </x:c>
      <x:c r="I116" s="68" t="n">
        <x:f>G116*H116</x:f>
        <x:v>12</x:v>
      </x:c>
      <x:c r="J116" s="67" t="str">
        <x:v>Diseñar extracción hacia destino seguro y validar caudal</x:v>
      </x:c>
    </x:row>
    <x:row r="117" ht="59" customHeight="1">
      <x:c r="A117" s="75" t="str">
        <x:v>N13 · Extracción/enfriamiento F-02</x:v>
      </x:c>
      <x:c r="B117" s="67" t="str">
        <x:v>MENOS</x:v>
      </x:c>
      <x:c r="C117" s="67" t="str">
        <x:v>Extracción de aire</x:v>
      </x:c>
      <x:c r="D117" s="67" t="str">
        <x:v>Extracción insuficiente</x:v>
      </x:c>
      <x:c r="E117" s="67" t="str">
        <x:v>Conducto obstruido o equipo inadecuado</x:v>
      </x:c>
      <x:c r="F117" s="67" t="str">
        <x:v>Vapores acumulados; enfriamiento lento</x:v>
      </x:c>
      <x:c r="G117" s="68" t="n">
        <x:v>4</x:v>
      </x:c>
      <x:c r="H117" s="68" t="n">
        <x:v>5</x:v>
      </x:c>
      <x:c r="I117" s="68" t="n">
        <x:f>G117*H117</x:f>
        <x:v>20</x:v>
      </x:c>
      <x:c r="J117" s="67" t="str">
        <x:v>Dimensionar extracción conforme FDS y riesgos de atmósfera inflamable</x:v>
      </x:c>
    </x:row>
    <x:row r="118" ht="59" customHeight="1">
      <x:c r="A118" s="75" t="str">
        <x:v>N13 · Extracción/enfriamiento F-02</x:v>
      </x:c>
      <x:c r="B118" s="67" t="str">
        <x:v>INVERSO</x:v>
      </x:c>
      <x:c r="C118" s="67" t="str">
        <x:v>Extracción de aire</x:v>
      </x:c>
      <x:c r="D118" s="67" t="str">
        <x:v>Flujo hacia interior</x:v>
      </x:c>
      <x:c r="E118" s="67" t="str">
        <x:v>Ventilador invertido o depresión externa</x:v>
      </x:c>
      <x:c r="F118" s="67" t="str">
        <x:v>Retorno de vapores/aire caliente</x:v>
      </x:c>
      <x:c r="G118" s="68" t="n">
        <x:v>3</x:v>
      </x:c>
      <x:c r="H118" s="68" t="n">
        <x:v>5</x:v>
      </x:c>
      <x:c r="I118" s="68" t="n">
        <x:f>G118*H118</x:f>
        <x:v>15</x:v>
      </x:c>
      <x:c r="J118" s="67" t="str">
        <x:v>Comprobar dirección y descarga segura</x:v>
      </x:c>
    </x:row>
    <x:row r="119" ht="59" customHeight="1">
      <x:c r="A119" s="75" t="str">
        <x:v>N13 · Extracción/enfriamiento F-02</x:v>
      </x:c>
      <x:c r="B119" s="67" t="str">
        <x:v>ADEMÁS DE</x:v>
      </x:c>
      <x:c r="C119" s="67" t="str">
        <x:v>Extracción de aire</x:v>
      </x:c>
      <x:c r="D119" s="67" t="str">
        <x:v>Extracción con fugas a recinto</x:v>
      </x:c>
      <x:c r="E119" s="67" t="str">
        <x:v>Conducto sin sellos</x:v>
      </x:c>
      <x:c r="F119" s="67" t="str">
        <x:v>Exposición química e incendio</x:v>
      </x:c>
      <x:c r="G119" s="68" t="n">
        <x:v>4</x:v>
      </x:c>
      <x:c r="H119" s="68" t="n">
        <x:v>5</x:v>
      </x:c>
      <x:c r="I119" s="68" t="n">
        <x:f>G119*H119</x:f>
        <x:v>20</x:v>
      </x:c>
      <x:c r="J119" s="67" t="str">
        <x:v>Verificar estanqueidad y recorrido a punto seguro</x:v>
      </x:c>
    </x:row>
    <x:row r="120" ht="59" customHeight="1">
      <x:c r="A120" s="75" t="str">
        <x:v>N13 · Extracción/enfriamiento F-02</x:v>
      </x:c>
      <x:c r="B120" s="67" t="str">
        <x:v>PARTE DE</x:v>
      </x:c>
      <x:c r="C120" s="67" t="str">
        <x:v>Extracción de aire</x:v>
      </x:c>
      <x:c r="D120" s="67" t="str">
        <x:v>Solo parte del volumen se renueva</x:v>
      </x:c>
      <x:c r="E120" s="67" t="str">
        <x:v>Cortocircuito de aire</x:v>
      </x:c>
      <x:c r="F120" s="67" t="str">
        <x:v>Zonas con vapores y calor retenido</x:v>
      </x:c>
      <x:c r="G120" s="68" t="n">
        <x:v>4</x:v>
      </x:c>
      <x:c r="H120" s="68" t="n">
        <x:v>5</x:v>
      </x:c>
      <x:c r="I120" s="68" t="n">
        <x:f>G120*H120</x:f>
        <x:v>20</x:v>
      </x:c>
      <x:c r="J120" s="67" t="str">
        <x:v>Ensayo de ventilación y revisión de geometría interna</x:v>
      </x:c>
    </x:row>
    <x:row r="121" ht="59" customHeight="1">
      <x:c r="A121" s="75" t="str">
        <x:v>N13 · Extracción/enfriamiento F-02</x:v>
      </x:c>
      <x:c r="B121" s="67" t="str">
        <x:v>OTRO QUE</x:v>
      </x:c>
      <x:c r="C121" s="67" t="str">
        <x:v>Extracción de aire</x:v>
      </x:c>
      <x:c r="D121" s="67" t="str">
        <x:v>Se usa ventilador no apto para vapores</x:v>
      </x:c>
      <x:c r="E121" s="67" t="str">
        <x:v>Selección sin evaluación de atmósfera</x:v>
      </x:c>
      <x:c r="F121" s="67" t="str">
        <x:v>Ignición de vapores</x:v>
      </x:c>
      <x:c r="G121" s="68" t="n">
        <x:v>4</x:v>
      </x:c>
      <x:c r="H121" s="68" t="n">
        <x:v>5</x:v>
      </x:c>
      <x:c r="I121" s="68" t="n">
        <x:f>G121*H121</x:f>
        <x:v>20</x:v>
      </x:c>
      <x:c r="J121" s="67" t="str">
        <x:v>No operar con barniz sin clasificación y diseño apropiados</x:v>
      </x:c>
    </x:row>
    <x:row r="122" ht="59" customHeight="1">
      <x:c r="A122" s="75" t="str">
        <x:v>N13 · Extracción/enfriamiento F-02</x:v>
      </x:c>
      <x:c r="B122" s="67" t="str">
        <x:v>ANTES</x:v>
      </x:c>
      <x:c r="C122" s="67" t="str">
        <x:v>Extracción de aire</x:v>
      </x:c>
      <x:c r="D122" s="67" t="str">
        <x:v>Extracción arranca tarde</x:v>
      </x:c>
      <x:c r="E122" s="67" t="str">
        <x:v>Secuencia habilita ventilación tras emisión</x:v>
      </x:c>
      <x:c r="F122" s="67" t="str">
        <x:v>Acumulación inicial de vapores</x:v>
      </x:c>
      <x:c r="G122" s="68" t="n">
        <x:v>4</x:v>
      </x:c>
      <x:c r="H122" s="68" t="n">
        <x:v>5</x:v>
      </x:c>
      <x:c r="I122" s="68" t="n">
        <x:f>G122*H122</x:f>
        <x:v>20</x:v>
      </x:c>
      <x:c r="J122" s="67" t="str">
        <x:v>Definir prerrequisitos y secuencia acorde FDS</x:v>
      </x:c>
    </x:row>
    <x:row r="123" ht="59" customHeight="1">
      <x:c r="A123" s="75" t="str">
        <x:v>N13 · Extracción/enfriamiento F-02</x:v>
      </x:c>
      <x:c r="B123" s="67" t="str">
        <x:v>DESPUÉS</x:v>
      </x:c>
      <x:c r="C123" s="67" t="str">
        <x:v>Extracción de aire</x:v>
      </x:c>
      <x:c r="D123" s="67" t="str">
        <x:v>Se detiene antes del tiempo seguro</x:v>
      </x:c>
      <x:c r="E123" s="67" t="str">
        <x:v>Fin prematuro de enfriamiento/extracción</x:v>
      </x:c>
      <x:c r="F123" s="67" t="str">
        <x:v>Exposición a calor y vapores</x:v>
      </x:c>
      <x:c r="G123" s="68" t="n">
        <x:v>3</x:v>
      </x:c>
      <x:c r="H123" s="68" t="n">
        <x:v>5</x:v>
      </x:c>
      <x:c r="I123" s="68" t="n">
        <x:f>G123*H123</x:f>
        <x:v>15</x:v>
      </x:c>
      <x:c r="J123" s="67" t="str">
        <x:v>Definir criterio de parada medido y verificado</x:v>
      </x:c>
    </x:row>
    <x:row r="124" ht="59" customHeight="1">
      <x:c r="A124" s="74" t="str">
        <x:v>N14 · Parada de emergencia HS-01 / K-01</x:v>
      </x:c>
      <x:c r="B124" s="70" t="str">
        <x:v>NO</x:v>
      </x:c>
      <x:c r="C124" s="70" t="str">
        <x:v>Corte independiente</x:v>
      </x:c>
      <x:c r="D124" s="70" t="str">
        <x:v>No se abre K-01 al pulsar emergencia</x:v>
      </x:c>
      <x:c r="E124" s="70" t="str">
        <x:v>Contacto soldado/cableado incorrecto</x:v>
      </x:c>
      <x:c r="F124" s="70" t="str">
        <x:v>Calefacción no se detiene</x:v>
      </x:c>
      <x:c r="G124" s="71" t="n">
        <x:v>3</x:v>
      </x:c>
      <x:c r="H124" s="71" t="n">
        <x:v>5</x:v>
      </x:c>
      <x:c r="I124" s="71" t="n">
        <x:f>G124*H124</x:f>
        <x:v>15</x:v>
      </x:c>
      <x:c r="J124" s="70" t="str">
        <x:v>Circuito independiente, pruebas de desconexión y revisión de fallos</x:v>
      </x:c>
    </x:row>
    <x:row r="125" ht="59" customHeight="1">
      <x:c r="A125" s="75" t="str">
        <x:v>N14 · Parada de emergencia HS-01 / K-01</x:v>
      </x:c>
      <x:c r="B125" s="67" t="str">
        <x:v>MÁS</x:v>
      </x:c>
      <x:c r="C125" s="67" t="str">
        <x:v>Corte independiente</x:v>
      </x:c>
      <x:c r="D125" s="67" t="str">
        <x:v>Tiempo de desconexión mayor al admisible</x:v>
      </x:c>
      <x:c r="E125" s="67" t="str">
        <x:v>Retardo/contactos deficientes</x:v>
      </x:c>
      <x:c r="F125" s="67" t="str">
        <x:v>Persistencia de condición peligrosa</x:v>
      </x:c>
      <x:c r="G125" s="68" t="n">
        <x:v>3</x:v>
      </x:c>
      <x:c r="H125" s="68" t="n">
        <x:v>5</x:v>
      </x:c>
      <x:c r="I125" s="68" t="n">
        <x:f>G125*H125</x:f>
        <x:v>15</x:v>
      </x:c>
      <x:c r="J125" s="67" t="str">
        <x:v>Medir tiempo de actuación según análisis de riesgo</x:v>
      </x:c>
    </x:row>
    <x:row r="126" ht="59" customHeight="1">
      <x:c r="A126" s="75" t="str">
        <x:v>N14 · Parada de emergencia HS-01 / K-01</x:v>
      </x:c>
      <x:c r="B126" s="67" t="str">
        <x:v>MENOS</x:v>
      </x:c>
      <x:c r="C126" s="67" t="str">
        <x:v>Corte independiente</x:v>
      </x:c>
      <x:c r="D126" s="67" t="str">
        <x:v>Corte insuficiente por fuga o bypass</x:v>
      </x:c>
      <x:c r="E126" s="67" t="str">
        <x:v>Conductor en paralelo a K-01</x:v>
      </x:c>
      <x:c r="F126" s="67" t="str">
        <x:v>Lámparas siguen energizadas</x:v>
      </x:c>
      <x:c r="G126" s="68" t="n">
        <x:v>3</x:v>
      </x:c>
      <x:c r="H126" s="68" t="n">
        <x:v>5</x:v>
      </x:c>
      <x:c r="I126" s="68" t="n">
        <x:f>G126*H126</x:f>
        <x:v>15</x:v>
      </x:c>
      <x:c r="J126" s="67" t="str">
        <x:v>Verificación del corte físico de potencia y ausencia de bypass</x:v>
      </x:c>
    </x:row>
    <x:row r="127" ht="59" customHeight="1">
      <x:c r="A127" s="75" t="str">
        <x:v>N14 · Parada de emergencia HS-01 / K-01</x:v>
      </x:c>
      <x:c r="B127" s="67" t="str">
        <x:v>INVERSO</x:v>
      </x:c>
      <x:c r="C127" s="67" t="str">
        <x:v>Corte independiente</x:v>
      </x:c>
      <x:c r="D127" s="67" t="str">
        <x:v>Lógica de contacto invertida</x:v>
      </x:c>
      <x:c r="E127" s="67" t="str">
        <x:v>Conexión NO en vez de NC</x:v>
      </x:c>
      <x:c r="F127" s="67" t="str">
        <x:v>Falla de seguridad no detectada</x:v>
      </x:c>
      <x:c r="G127" s="68" t="n">
        <x:v>3</x:v>
      </x:c>
      <x:c r="H127" s="68" t="n">
        <x:v>5</x:v>
      </x:c>
      <x:c r="I127" s="68" t="n">
        <x:f>G127*H127</x:f>
        <x:v>15</x:v>
      </x:c>
      <x:c r="J127" s="67" t="str">
        <x:v>Diseñar hacia desenergización segura y probar rotura de cable</x:v>
      </x:c>
    </x:row>
    <x:row r="128" ht="59" customHeight="1">
      <x:c r="A128" s="75" t="str">
        <x:v>N14 · Parada de emergencia HS-01 / K-01</x:v>
      </x:c>
      <x:c r="B128" s="67" t="str">
        <x:v>ADEMÁS DE</x:v>
      </x:c>
      <x:c r="C128" s="67" t="str">
        <x:v>Corte independiente</x:v>
      </x:c>
      <x:c r="D128" s="67" t="str">
        <x:v>Emergencia junto con falla de mando</x:v>
      </x:c>
      <x:c r="E128" s="67" t="str">
        <x:v>Falla común alimentaciones/contactos</x:v>
      </x:c>
      <x:c r="F128" s="67" t="str">
        <x:v>Pérdida de función protectora</x:v>
      </x:c>
      <x:c r="G128" s="68" t="n">
        <x:v>3</x:v>
      </x:c>
      <x:c r="H128" s="68" t="n">
        <x:v>5</x:v>
      </x:c>
      <x:c r="I128" s="68" t="n">
        <x:f>G128*H128</x:f>
        <x:v>15</x:v>
      </x:c>
      <x:c r="J128" s="67" t="str">
        <x:v>Evaluar arquitectura y evitar dependencia del PLC</x:v>
      </x:c>
    </x:row>
    <x:row r="129" ht="59" customHeight="1">
      <x:c r="A129" s="75" t="str">
        <x:v>N14 · Parada de emergencia HS-01 / K-01</x:v>
      </x:c>
      <x:c r="B129" s="67" t="str">
        <x:v>PARTE DE</x:v>
      </x:c>
      <x:c r="C129" s="67" t="str">
        <x:v>Corte independiente</x:v>
      </x:c>
      <x:c r="D129" s="67" t="str">
        <x:v>Sólo parte de calefacción se corta</x:v>
      </x:c>
      <x:c r="E129" s="67" t="str">
        <x:v>Cableado de lámparas fuera de K-01</x:v>
      </x:c>
      <x:c r="F129" s="67" t="str">
        <x:v>Una lámpara sigue calentando</x:v>
      </x:c>
      <x:c r="G129" s="68" t="n">
        <x:v>3</x:v>
      </x:c>
      <x:c r="H129" s="68" t="n">
        <x:v>5</x:v>
      </x:c>
      <x:c r="I129" s="68" t="n">
        <x:f>G129*H129</x:f>
        <x:v>15</x:v>
      </x:c>
      <x:c r="J129" s="67" t="str">
        <x:v>Revisar diagrama de potencia y probar ambas ramas</x:v>
      </x:c>
    </x:row>
    <x:row r="130" ht="59" customHeight="1">
      <x:c r="A130" s="75" t="str">
        <x:v>N14 · Parada de emergencia HS-01 / K-01</x:v>
      </x:c>
      <x:c r="B130" s="67" t="str">
        <x:v>OTRO QUE</x:v>
      </x:c>
      <x:c r="C130" s="67" t="str">
        <x:v>Corte independiente</x:v>
      </x:c>
      <x:c r="D130" s="67" t="str">
        <x:v>Rearme por orden HMI en vez de acción física</x:v>
      </x:c>
      <x:c r="E130" s="67" t="str">
        <x:v>Se confunden funciones de reset</x:v>
      </x:c>
      <x:c r="F130" s="67" t="str">
        <x:v>Reinicio no intencionado</x:v>
      </x:c>
      <x:c r="G130" s="68" t="n">
        <x:v>3</x:v>
      </x:c>
      <x:c r="H130" s="68" t="n">
        <x:v>5</x:v>
      </x:c>
      <x:c r="I130" s="68" t="n">
        <x:f>G130*H130</x:f>
        <x:v>15</x:v>
      </x:c>
      <x:c r="J130" s="67" t="str">
        <x:v>Rearme manual deliberado y nueva orden de marcha</x:v>
      </x:c>
    </x:row>
    <x:row r="131" ht="59" customHeight="1">
      <x:c r="A131" s="75" t="str">
        <x:v>N14 · Parada de emergencia HS-01 / K-01</x:v>
      </x:c>
      <x:c r="B131" s="67" t="str">
        <x:v>ANTES</x:v>
      </x:c>
      <x:c r="C131" s="67" t="str">
        <x:v>Corte independiente</x:v>
      </x:c>
      <x:c r="D131" s="67" t="str">
        <x:v>K-01 cierra antes de liberar emergencia</x:v>
      </x:c>
      <x:c r="E131" s="67" t="str">
        <x:v>Lógica enclavamiento errónea</x:v>
      </x:c>
      <x:c r="F131" s="67" t="str">
        <x:v>Energización con emergencia activa</x:v>
      </x:c>
      <x:c r="G131" s="68" t="n">
        <x:v>3</x:v>
      </x:c>
      <x:c r="H131" s="68" t="n">
        <x:v>5</x:v>
      </x:c>
      <x:c r="I131" s="68" t="n">
        <x:f>G131*H131</x:f>
        <x:v>15</x:v>
      </x:c>
      <x:c r="J131" s="67" t="str">
        <x:v>Impedir cierre mientras HS-01 permanezca accionado</x:v>
      </x:c>
    </x:row>
    <x:row r="132" ht="59" customHeight="1">
      <x:c r="A132" s="75" t="str">
        <x:v>N14 · Parada de emergencia HS-01 / K-01</x:v>
      </x:c>
      <x:c r="B132" s="67" t="str">
        <x:v>DESPUÉS</x:v>
      </x:c>
      <x:c r="C132" s="67" t="str">
        <x:v>Corte independiente</x:v>
      </x:c>
      <x:c r="D132" s="67" t="str">
        <x:v>Rearranca tras liberar seta</x:v>
      </x:c>
      <x:c r="E132" s="67" t="str">
        <x:v>Circuito de autoarranque</x:v>
      </x:c>
      <x:c r="F132" s="67" t="str">
        <x:v>Calefacción inesperada</x:v>
      </x:c>
      <x:c r="G132" s="68" t="n">
        <x:v>3</x:v>
      </x:c>
      <x:c r="H132" s="68" t="n">
        <x:v>5</x:v>
      </x:c>
      <x:c r="I132" s="68" t="n">
        <x:f>G132*H132</x:f>
        <x:v>15</x:v>
      </x:c>
      <x:c r="J132" s="67" t="str">
        <x:v>Prueba de no reinicio automático</x:v>
      </x:c>
    </x:row>
    <x:row r="133" ht="59" customHeight="1">
      <x:c r="A133" s="74" t="str">
        <x:v>N15 · Termostato TSHH-01</x:v>
      </x:c>
      <x:c r="B133" s="70" t="str">
        <x:v>NO</x:v>
      </x:c>
      <x:c r="C133" s="70" t="str">
        <x:v>Límite de seguridad</x:v>
      </x:c>
      <x:c r="D133" s="70" t="str">
        <x:v>No dispara con sobretemperatura</x:v>
      </x:c>
      <x:c r="E133" s="70" t="str">
        <x:v>Sensor/cableado averiado o ajuste inadecuado</x:v>
      </x:c>
      <x:c r="F133" s="70" t="str">
        <x:v>Incendio por pérdida de límite</x:v>
      </x:c>
      <x:c r="G133" s="71" t="n">
        <x:v>3</x:v>
      </x:c>
      <x:c r="H133" s="71" t="n">
        <x:v>5</x:v>
      </x:c>
      <x:c r="I133" s="71" t="n">
        <x:f>G133*H133</x:f>
        <x:v>15</x:v>
      </x:c>
      <x:c r="J133" s="70" t="str">
        <x:v>Verificar independencia, disparo y desconexión K-01</x:v>
      </x:c>
    </x:row>
    <x:row r="134" ht="59" customHeight="1">
      <x:c r="A134" s="75" t="str">
        <x:v>N15 · Termostato TSHH-01</x:v>
      </x:c>
      <x:c r="B134" s="67" t="str">
        <x:v>MÁS</x:v>
      </x:c>
      <x:c r="C134" s="67" t="str">
        <x:v>Límite de seguridad</x:v>
      </x:c>
      <x:c r="D134" s="67" t="str">
        <x:v>Umbral demasiado alto</x:v>
      </x:c>
      <x:c r="E134" s="67" t="str">
        <x:v>Ajuste sin margen térmico</x:v>
      </x:c>
      <x:c r="F134" s="67" t="str">
        <x:v>Actuación tardía</x:v>
      </x:c>
      <x:c r="G134" s="68" t="n">
        <x:v>3</x:v>
      </x:c>
      <x:c r="H134" s="68" t="n">
        <x:v>5</x:v>
      </x:c>
      <x:c r="I134" s="68" t="n">
        <x:f>G134*H134</x:f>
        <x:v>15</x:v>
      </x:c>
      <x:c r="J134" s="67" t="str">
        <x:v>Definir umbral según análisis de riesgos y especificaciones</x:v>
      </x:c>
    </x:row>
    <x:row r="135" ht="59" customHeight="1">
      <x:c r="A135" s="75" t="str">
        <x:v>N15 · Termostato TSHH-01</x:v>
      </x:c>
      <x:c r="B135" s="67" t="str">
        <x:v>MENOS</x:v>
      </x:c>
      <x:c r="C135" s="67" t="str">
        <x:v>Límite de seguridad</x:v>
      </x:c>
      <x:c r="D135" s="67" t="str">
        <x:v>Umbral demasiado bajo</x:v>
      </x:c>
      <x:c r="E135" s="67" t="str">
        <x:v>Ajuste incorrecto</x:v>
      </x:c>
      <x:c r="F135" s="67" t="str">
        <x:v>Paradas intempestivas</x:v>
      </x:c>
      <x:c r="G135" s="68" t="n">
        <x:v>3</x:v>
      </x:c>
      <x:c r="H135" s="68" t="n">
        <x:v>3</x:v>
      </x:c>
      <x:c r="I135" s="68" t="n">
        <x:f>G135*H135</x:f>
        <x:v>9</x:v>
      </x:c>
      <x:c r="J135" s="67" t="str">
        <x:v>Calibrar y registrar setpoint de seguridad</x:v>
      </x:c>
    </x:row>
    <x:row r="136" ht="59" customHeight="1">
      <x:c r="A136" s="75" t="str">
        <x:v>N15 · Termostato TSHH-01</x:v>
      </x:c>
      <x:c r="B136" s="67" t="str">
        <x:v>INVERSO</x:v>
      </x:c>
      <x:c r="C136" s="67" t="str">
        <x:v>Límite de seguridad</x:v>
      </x:c>
      <x:c r="D136" s="67" t="str">
        <x:v>Acción inversa del contacto</x:v>
      </x:c>
      <x:c r="E136" s="67" t="str">
        <x:v>NO/NC incorrecto</x:v>
      </x:c>
      <x:c r="F136" s="67" t="str">
        <x:v>No desconecta en falla</x:v>
      </x:c>
      <x:c r="G136" s="68" t="n">
        <x:v>3</x:v>
      </x:c>
      <x:c r="H136" s="68" t="n">
        <x:v>5</x:v>
      </x:c>
      <x:c r="I136" s="68" t="n">
        <x:f>G136*H136</x:f>
        <x:v>15</x:v>
      </x:c>
      <x:c r="J136" s="67" t="str">
        <x:v>Verificar disposición de contactos y pérdida de energía</x:v>
      </x:c>
    </x:row>
    <x:row r="137" ht="59" customHeight="1">
      <x:c r="A137" s="75" t="str">
        <x:v>N15 · Termostato TSHH-01</x:v>
      </x:c>
      <x:c r="B137" s="67" t="str">
        <x:v>ADEMÁS DE</x:v>
      </x:c>
      <x:c r="C137" s="67" t="str">
        <x:v>Límite de seguridad</x:v>
      </x:c>
      <x:c r="D137" s="67" t="str">
        <x:v>Disparo e indicación no concordantes</x:v>
      </x:c>
      <x:c r="E137" s="67" t="str">
        <x:v>Cableado de señal separado erróneamente</x:v>
      </x:c>
      <x:c r="F137" s="67" t="str">
        <x:v>Operador no identifica falla crítica</x:v>
      </x:c>
      <x:c r="G137" s="68" t="n">
        <x:v>3</x:v>
      </x:c>
      <x:c r="H137" s="68" t="n">
        <x:v>4</x:v>
      </x:c>
      <x:c r="I137" s="68" t="n">
        <x:f>G137*H137</x:f>
        <x:v>12</x:v>
      </x:c>
      <x:c r="J137" s="67" t="str">
        <x:v>Prueba de K-01 y aviso de evento sin depender de HMI</x:v>
      </x:c>
    </x:row>
    <x:row r="138" ht="59" customHeight="1">
      <x:c r="A138" s="75" t="str">
        <x:v>N15 · Termostato TSHH-01</x:v>
      </x:c>
      <x:c r="B138" s="67" t="str">
        <x:v>PARTE DE</x:v>
      </x:c>
      <x:c r="C138" s="67" t="str">
        <x:v>Límite de seguridad</x:v>
      </x:c>
      <x:c r="D138" s="67" t="str">
        <x:v>Cubre sólo zona fría de la cámara</x:v>
      </x:c>
      <x:c r="E138" s="67" t="str">
        <x:v>Sensor de límite mal ubicado</x:v>
      </x:c>
      <x:c r="F138" s="67" t="str">
        <x:v>Puntos calientes no detectados</x:v>
      </x:c>
      <x:c r="G138" s="68" t="n">
        <x:v>3</x:v>
      </x:c>
      <x:c r="H138" s="68" t="n">
        <x:v>5</x:v>
      </x:c>
      <x:c r="I138" s="68" t="n">
        <x:f>G138*H138</x:f>
        <x:v>15</x:v>
      </x:c>
      <x:c r="J138" s="67" t="str">
        <x:v>Validar localización y gradiente térmico</x:v>
      </x:c>
    </x:row>
    <x:row r="139" ht="59" customHeight="1">
      <x:c r="A139" s="75" t="str">
        <x:v>N15 · Termostato TSHH-01</x:v>
      </x:c>
      <x:c r="B139" s="67" t="str">
        <x:v>OTRO QUE</x:v>
      </x:c>
      <x:c r="C139" s="67" t="str">
        <x:v>Límite de seguridad</x:v>
      </x:c>
      <x:c r="D139" s="67" t="str">
        <x:v>Se utiliza alarma software como termostato</x:v>
      </x:c>
      <x:c r="E139" s="67" t="str">
        <x:v>TSHH sustituido por PLC</x:v>
      </x:c>
      <x:c r="F139" s="67" t="str">
        <x:v>Pérdida de independencia del corte</x:v>
      </x:c>
      <x:c r="G139" s="68" t="n">
        <x:v>4</x:v>
      </x:c>
      <x:c r="H139" s="68" t="n">
        <x:v>5</x:v>
      </x:c>
      <x:c r="I139" s="68" t="n">
        <x:f>G139*H139</x:f>
        <x:v>20</x:v>
      </x:c>
      <x:c r="J139" s="67" t="str">
        <x:v>Instalar dispositivo físico independiente</x:v>
      </x:c>
    </x:row>
    <x:row r="140" ht="59" customHeight="1">
      <x:c r="A140" s="75" t="str">
        <x:v>N15 · Termostato TSHH-01</x:v>
      </x:c>
      <x:c r="B140" s="67" t="str">
        <x:v>ANTES</x:v>
      </x:c>
      <x:c r="C140" s="67" t="str">
        <x:v>Límite de seguridad</x:v>
      </x:c>
      <x:c r="D140" s="67" t="str">
        <x:v>Habilita calentamiento antes de rearme</x:v>
      </x:c>
      <x:c r="E140" s="67" t="str">
        <x:v>Lógica de reset defectuosa</x:v>
      </x:c>
      <x:c r="F140" s="67" t="str">
        <x:v>Ciclo peligroso tras falla</x:v>
      </x:c>
      <x:c r="G140" s="68" t="n">
        <x:v>3</x:v>
      </x:c>
      <x:c r="H140" s="68" t="n">
        <x:v>5</x:v>
      </x:c>
      <x:c r="I140" s="68" t="n">
        <x:f>G140*H140</x:f>
        <x:v>15</x:v>
      </x:c>
      <x:c r="J140" s="67" t="str">
        <x:v>Exigir rearme y nueva autorización tras diagnóstico</x:v>
      </x:c>
    </x:row>
    <x:row r="141" ht="59" customHeight="1">
      <x:c r="A141" s="75" t="str">
        <x:v>N15 · Termostato TSHH-01</x:v>
      </x:c>
      <x:c r="B141" s="67" t="str">
        <x:v>DESPUÉS</x:v>
      </x:c>
      <x:c r="C141" s="67" t="str">
        <x:v>Límite de seguridad</x:v>
      </x:c>
      <x:c r="D141" s="67" t="str">
        <x:v>Se rearma antes de enfriar</x:v>
      </x:c>
      <x:c r="E141" s="67" t="str">
        <x:v>Operador fuerza retorno</x:v>
      </x:c>
      <x:c r="F141" s="67" t="str">
        <x:v>Nuevo episodio de sobretemperatura</x:v>
      </x:c>
      <x:c r="G141" s="68" t="n">
        <x:v>3</x:v>
      </x:c>
      <x:c r="H141" s="68" t="n">
        <x:v>5</x:v>
      </x:c>
      <x:c r="I141" s="68" t="n">
        <x:f>G141*H141</x:f>
        <x:v>15</x:v>
      </x:c>
      <x:c r="J141" s="67" t="str">
        <x:v>Establecer condiciones físicas de rearmado y verificación</x:v>
      </x:c>
    </x:row>
    <x:row r="142" ht="59" customHeight="1">
      <x:c r="A142" s="74" t="str">
        <x:v>N16 · Carga, barniz y apertura de puerta</x:v>
      </x:c>
      <x:c r="B142" s="70" t="str">
        <x:v>NO</x:v>
      </x:c>
      <x:c r="C142" s="70" t="str">
        <x:v>Exposición de bobinado</x:v>
      </x:c>
      <x:c r="D142" s="70" t="str">
        <x:v>No se introduce carga prevista</x:v>
      </x:c>
      <x:c r="E142" s="70" t="str">
        <x:v>Error operativo</x:v>
      </x:c>
      <x:c r="F142" s="70" t="str">
        <x:v>Validación no representativa</x:v>
      </x:c>
      <x:c r="G142" s="71" t="n">
        <x:v>3</x:v>
      </x:c>
      <x:c r="H142" s="71" t="n">
        <x:v>3</x:v>
      </x:c>
      <x:c r="I142" s="71" t="n">
        <x:f>G142*H142</x:f>
        <x:v>9</x:v>
      </x:c>
      <x:c r="J142" s="70" t="str">
        <x:v>Definir ensayo con y sin carga por separado</x:v>
      </x:c>
    </x:row>
    <x:row r="143" ht="59" customHeight="1">
      <x:c r="A143" s="75" t="str">
        <x:v>N16 · Carga, barniz y apertura de puerta</x:v>
      </x:c>
      <x:c r="B143" s="67" t="str">
        <x:v>MÁS</x:v>
      </x:c>
      <x:c r="C143" s="67" t="str">
        <x:v>Exposición de bobinado</x:v>
      </x:c>
      <x:c r="D143" s="67" t="str">
        <x:v>Carga o barniz por encima del diseño</x:v>
      </x:c>
      <x:c r="E143" s="67" t="str">
        <x:v>Exceso de material o solventes</x:v>
      </x:c>
      <x:c r="F143" s="67" t="str">
        <x:v>Sobretemperatura y atmósfera inflamable</x:v>
      </x:c>
      <x:c r="G143" s="68" t="n">
        <x:v>4</x:v>
      </x:c>
      <x:c r="H143" s="68" t="n">
        <x:v>5</x:v>
      </x:c>
      <x:c r="I143" s="68" t="n">
        <x:f>G143*H143</x:f>
        <x:v>20</x:v>
      </x:c>
      <x:c r="J143" s="67" t="str">
        <x:v>Definir masa admisible y validar compatibilidad del proceso</x:v>
      </x:c>
    </x:row>
    <x:row r="144" ht="59" customHeight="1">
      <x:c r="A144" s="75" t="str">
        <x:v>N16 · Carga, barniz y apertura de puerta</x:v>
      </x:c>
      <x:c r="B144" s="67" t="str">
        <x:v>MENOS</x:v>
      </x:c>
      <x:c r="C144" s="67" t="str">
        <x:v>Exposición de bobinado</x:v>
      </x:c>
      <x:c r="D144" s="67" t="str">
        <x:v>Carga por debajo de referencia</x:v>
      </x:c>
      <x:c r="E144" s="67" t="str">
        <x:v>Lote distinto al ensayado</x:v>
      </x:c>
      <x:c r="F144" s="67" t="str">
        <x:v>Perfil térmico diferente</x:v>
      </x:c>
      <x:c r="G144" s="68" t="n">
        <x:v>3</x:v>
      </x:c>
      <x:c r="H144" s="68" t="n">
        <x:v>3</x:v>
      </x:c>
      <x:c r="I144" s="68" t="n">
        <x:f>G144*H144</x:f>
        <x:v>9</x:v>
      </x:c>
      <x:c r="J144" s="67" t="str">
        <x:v>Registrar masa y condición de ensayo</x:v>
      </x:c>
    </x:row>
    <x:row r="145" ht="59" customHeight="1">
      <x:c r="A145" s="75" t="str">
        <x:v>N16 · Carga, barniz y apertura de puerta</x:v>
      </x:c>
      <x:c r="B145" s="67" t="str">
        <x:v>INVERSO</x:v>
      </x:c>
      <x:c r="C145" s="67" t="str">
        <x:v>Exposición de bobinado</x:v>
      </x:c>
      <x:c r="D145" s="67" t="str">
        <x:v>Circulación en sentido no previsto sobre carga</x:v>
      </x:c>
      <x:c r="E145" s="67" t="str">
        <x:v>Distribución por ubicación/posición</x:v>
      </x:c>
      <x:c r="F145" s="67" t="str">
        <x:v>Calentamiento desigual</x:v>
      </x:c>
      <x:c r="G145" s="68" t="n">
        <x:v>3</x:v>
      </x:c>
      <x:c r="H145" s="68" t="n">
        <x:v>4</x:v>
      </x:c>
      <x:c r="I145" s="68" t="n">
        <x:f>G145*H145</x:f>
        <x:v>12</x:v>
      </x:c>
      <x:c r="J145" s="67" t="str">
        <x:v>Revisar soporte y mapa de temperaturas</x:v>
      </x:c>
    </x:row>
    <x:row r="146" ht="59" customHeight="1">
      <x:c r="A146" s="75" t="str">
        <x:v>N16 · Carga, barniz y apertura de puerta</x:v>
      </x:c>
      <x:c r="B146" s="67" t="str">
        <x:v>ADEMÁS DE</x:v>
      </x:c>
      <x:c r="C146" s="67" t="str">
        <x:v>Exposición de bobinado</x:v>
      </x:c>
      <x:c r="D146" s="67" t="str">
        <x:v>Barniz junto a fuente de ignición</x:v>
      </x:c>
      <x:c r="E146" s="67" t="str">
        <x:v>Vapores inflamables + halógenas expuestas</x:v>
      </x:c>
      <x:c r="F146" s="67" t="str">
        <x:v>Incendio o deflagración</x:v>
      </x:c>
      <x:c r="G146" s="68" t="n">
        <x:v>4</x:v>
      </x:c>
      <x:c r="H146" s="68" t="n">
        <x:v>5</x:v>
      </x:c>
      <x:c r="I146" s="68" t="n">
        <x:f>G146*H146</x:f>
        <x:v>20</x:v>
      </x:c>
      <x:c r="J146" s="67" t="str">
        <x:v>NO CURAR BARNIZ hasta validar FDS y sustituir/segregar fuentes de ignición</x:v>
      </x:c>
    </x:row>
    <x:row r="147" ht="59" customHeight="1">
      <x:c r="A147" s="75" t="str">
        <x:v>N16 · Carga, barniz y apertura de puerta</x:v>
      </x:c>
      <x:c r="B147" s="67" t="str">
        <x:v>PARTE DE</x:v>
      </x:c>
      <x:c r="C147" s="67" t="str">
        <x:v>Exposición de bobinado</x:v>
      </x:c>
      <x:c r="D147" s="67" t="str">
        <x:v>Sólo parte del bobinado alcanza temperatura</x:v>
      </x:c>
      <x:c r="E147" s="67" t="str">
        <x:v>Gradientes de carga</x:v>
      </x:c>
      <x:c r="F147" s="67" t="str">
        <x:v>Curado parcial no conforme</x:v>
      </x:c>
      <x:c r="G147" s="68" t="n">
        <x:v>4</x:v>
      </x:c>
      <x:c r="H147" s="68" t="n">
        <x:v>4</x:v>
      </x:c>
      <x:c r="I147" s="68" t="n">
        <x:f>G147*H147</x:f>
        <x:v>16</x:v>
      </x:c>
      <x:c r="J147" s="67" t="str">
        <x:v>Medir temperatura de bobina durante ensayos seguros</x:v>
      </x:c>
    </x:row>
    <x:row r="148" ht="59" customHeight="1">
      <x:c r="A148" s="75" t="str">
        <x:v>N16 · Carga, barniz y apertura de puerta</x:v>
      </x:c>
      <x:c r="B148" s="67" t="str">
        <x:v>OTRO QUE</x:v>
      </x:c>
      <x:c r="C148" s="67" t="str">
        <x:v>Exposición de bobinado</x:v>
      </x:c>
      <x:c r="D148" s="67" t="str">
        <x:v>Barniz con especificación distinta</x:v>
      </x:c>
      <x:c r="E148" s="67" t="str">
        <x:v>Producto/ficha de curado incorrecta</x:v>
      </x:c>
      <x:c r="F148" s="67" t="str">
        <x:v>Vapores/régimen de curado inesperados</x:v>
      </x:c>
      <x:c r="G148" s="68" t="n">
        <x:v>4</x:v>
      </x:c>
      <x:c r="H148" s="68" t="n">
        <x:v>5</x:v>
      </x:c>
      <x:c r="I148" s="68" t="n">
        <x:f>G148*H148</x:f>
        <x:v>20</x:v>
      </x:c>
      <x:c r="J148" s="67" t="str">
        <x:v>Confirmar referencia exacta ROYALAC y FDS del lote</x:v>
      </x:c>
    </x:row>
    <x:row r="149" ht="59" customHeight="1">
      <x:c r="A149" s="75" t="str">
        <x:v>N16 · Carga, barniz y apertura de puerta</x:v>
      </x:c>
      <x:c r="B149" s="67" t="str">
        <x:v>ANTES</x:v>
      </x:c>
      <x:c r="C149" s="67" t="str">
        <x:v>Exposición de bobinado</x:v>
      </x:c>
      <x:c r="D149" s="67" t="str">
        <x:v>Puerta se abre antes de tiempo seguro</x:v>
      </x:c>
      <x:c r="E149" s="67" t="str">
        <x:v>Retiro manual en caliente</x:v>
      </x:c>
      <x:c r="F149" s="67" t="str">
        <x:v>Quemaduras y vapores a operador</x:v>
      </x:c>
      <x:c r="G149" s="68" t="n">
        <x:v>3</x:v>
      </x:c>
      <x:c r="H149" s="68" t="n">
        <x:v>5</x:v>
      </x:c>
      <x:c r="I149" s="68" t="n">
        <x:f>G149*H149</x:f>
        <x:v>15</x:v>
      </x:c>
      <x:c r="J149" s="67" t="str">
        <x:v>Procedimiento de enfriamiento, EPP y criterio de apertura</x:v>
      </x:c>
    </x:row>
    <x:row r="150" ht="59" customHeight="1">
      <x:c r="A150" s="75" t="str">
        <x:v>N16 · Carga, barniz y apertura de puerta</x:v>
      </x:c>
      <x:c r="B150" s="67" t="str">
        <x:v>DESPUÉS</x:v>
      </x:c>
      <x:c r="C150" s="67" t="str">
        <x:v>Exposición de bobinado</x:v>
      </x:c>
      <x:c r="D150" s="67" t="str">
        <x:v>Retiro de carga después sin asegurar frío</x:v>
      </x:c>
      <x:c r="E150" s="67" t="str">
        <x:v>Inercia térmica del metal/bobinado</x:v>
      </x:c>
      <x:c r="F150" s="67" t="str">
        <x:v>Quemaduras por calor residual</x:v>
      </x:c>
      <x:c r="G150" s="68" t="n">
        <x:v>4</x:v>
      </x:c>
      <x:c r="H150" s="68" t="n">
        <x:v>4</x:v>
      </x:c>
      <x:c r="I150" s="68" t="n">
        <x:f>G150*H150</x:f>
        <x:v>16</x:v>
      </x:c>
      <x:c r="J150" s="67" t="str">
        <x:v>Verificar temperatura segura antes de manipular</x:v>
      </x:c>
    </x:row>
  </x:sheetData>
  <x:mergeCells>
    <x:mergeCell ref="A1:J1"/>
    <x:mergeCell ref="A2:J2"/>
    <x:mergeCell ref="A3:J3"/>
    <x:mergeCell ref="A4:J4"/>
  </x:mergeCells>
  <x:conditionalFormatting sqref="I7:I150">
    <x:cfRule type="cellIs" dxfId="5" priority="1" operator="greaterThan">
      <x:formula>16</x:formula>
    </x:cfRule>
    <x:cfRule type="cellIs" dxfId="6" priority="2" operator="between">
      <x:formula>10</x:formula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66" hidden="0" customWidth="1"/>
    <x:col min="3" max="3" width="32" hidden="0" customWidth="1"/>
    <x:col min="4" max="4" width="85" hidden="0" customWidth="1"/>
  </x:cols>
  <x:sheetData>
    <x:row r="1" ht="30" customHeight="1">
      <x:c r="A1" s="78" t="str">
        <x:v>DOCUMENTACIÓN DEL ESTUDIO</x:v>
      </x:c>
      <x:c r="B1" s="78" t="str">
        <x:v>VALOR</x:v>
      </x:c>
      <x:c r="C1" s="78" t="str">
        <x:v>BASE</x:v>
      </x:c>
      <x:c r="D1" s="78" t="str">
        <x:v>OBSERVACIONES</x:v>
      </x:c>
    </x:row>
    <x:row r="2" ht="48" customHeight="1">
      <x:c r="A2" s="67" t="str">
        <x:v>Propósito</x:v>
      </x:c>
      <x:c r="B2" s="67" t="str">
        <x:v>Evaluación preliminar de desviaciones</x:v>
      </x:c>
      <x:c r="C2" s="67" t="str">
        <x:v>HAZOP + IPERC</x:v>
      </x:c>
      <x:c r="D2" s="67" t="str">
        <x:v>No reemplaza HAZOP multidisciplinario presencial</x:v>
      </x:c>
    </x:row>
    <x:row r="3" ht="48" customHeight="1">
      <x:c r="A3" s="67" t="str">
        <x:v>Alcance</x:v>
      </x:c>
      <x:c r="B3" s="67" t="str">
        <x:v>16 nodos × 9 palabras guía = 144 registros</x:v>
      </x:c>
      <x:c r="C3" s="67" t="str">
        <x:v>Horno eléctrico PID</x:v>
      </x:c>
      <x:c r="D3" s="67" t="str">
        <x:v>Nodos seleccionados por funciones y puntos de fallo</x:v>
      </x:c>
    </x:row>
    <x:row r="4" ht="48" customHeight="1">
      <x:c r="A4" s="67" t="str">
        <x:v>Palabras guía</x:v>
      </x:c>
      <x:c r="B4" s="67" t="str">
        <x:v>NO, MÁS, MENOS, INVERSO, ADEMÁS DE, PARTE DE, OTRO QUE, ANTES, DESPUÉS</x:v>
      </x:c>
      <x:c r="C4" s="67" t="str">
        <x:v>Solicitud docente</x:v>
      </x:c>
      <x:c r="D4" s="67" t="str">
        <x:v>INVERSO y demás términos adaptados a cada parámetro</x:v>
      </x:c>
    </x:row>
    <x:row r="5" ht="48" customHeight="1">
      <x:c r="A5" s="67" t="str">
        <x:v>Probabilidad</x:v>
      </x:c>
      <x:c r="B5" s="67" t="str">
        <x:v>1 rara – 5 frecuente</x:v>
      </x:c>
      <x:c r="C5" s="67" t="str">
        <x:v>Criterios IPERC</x:v>
      </x:c>
      <x:c r="D5" s="67" t="str">
        <x:v>Juicio preliminar del proyecto; validar con especialistas</x:v>
      </x:c>
    </x:row>
    <x:row r="6" ht="48" customHeight="1">
      <x:c r="A6" s="67" t="str">
        <x:v>Severidad</x:v>
      </x:c>
      <x:c r="B6" s="67" t="str">
        <x:v>1 leve – 5 fatal/crítica</x:v>
      </x:c>
      <x:c r="C6" s="67" t="str">
        <x:v>Criterios IPERC</x:v>
      </x:c>
      <x:c r="D6" s="67" t="str">
        <x:v>Impactos máximos creíbles, sujetos a revisión</x:v>
      </x:c>
    </x:row>
    <x:row r="7" ht="48" customHeight="1">
      <x:c r="A7" s="67" t="str">
        <x:v>Riesgo</x:v>
      </x:c>
      <x:c r="B7" s="67" t="str">
        <x:v>P × S; 1–4 bajo, 5–9 medio, 10–16 alto, 17–25 crítico</x:v>
      </x:c>
      <x:c r="C7" s="67" t="str">
        <x:v>Criterios IPERC</x:v>
      </x:c>
      <x:c r="D7" s="67" t="str">
        <x:v>Valoración inicial referencial, sin reducción residual supuesta</x:v>
      </x:c>
    </x:row>
    <x:row r="8" ht="48" customHeight="1">
      <x:c r="A8" s="67" t="str">
        <x:v>Estado salvaguardas</x:v>
      </x:c>
      <x:c r="B8" s="67" t="str">
        <x:v>En fase de diseño/ensayo parcial</x:v>
      </x:c>
      <x:c r="C8" s="67" t="str">
        <x:v>Avances semana 11</x:v>
      </x:c>
      <x:c r="D8" s="67" t="str">
        <x:v>No atribuir seguridad certificada a PLC o SSR</x:v>
      </x:c>
    </x:row>
    <x:row r="9" ht="48" customHeight="1">
      <x:c r="A9" s="67" t="str">
        <x:v>Restricción crítica</x:v>
      </x:c>
      <x:c r="B9" s="67" t="str">
        <x:v>No usar barniz hasta resolver fuentes de ignición</x:v>
      </x:c>
      <x:c r="C9" s="67" t="str">
        <x:v>IPERC y HAZOP</x:v>
      </x:c>
      <x:c r="D9" s="67" t="str">
        <x:v>Halógenas expuestas y vapores: requieren rediseño o justificación comprobable</x:v>
      </x:c>
    </x:row>
    <x:row r="10" ht="48" customHeight="1">
      <x:c r="A10" s="67" t="str">
        <x:v>Señal SSR</x:v>
      </x:c>
      <x:c r="B10" s="67" t="str">
        <x:v>Salida analógica compatible 4–20 mA</x:v>
      </x:c>
      <x:c r="C10" s="67" t="str">
        <x:v>Arquitectura de ingeniería</x:v>
      </x:c>
      <x:c r="D10" s="67" t="str">
        <x:v>No afirmar PWM digital en diseño definitivo</x:v>
      </x:c>
    </x:row>
    <x:row r="11" ht="48" customHeight="1">
      <x:c r="A11" s="67" t="str">
        <x:v>Medición</x:v>
      </x:c>
      <x:c r="B11" s="67" t="str">
        <x:v>PT100 TE-23 mide aire de cámara</x:v>
      </x:c>
      <x:c r="C11" s="67" t="str">
        <x:v>Arquitectura de ingeniería</x:v>
      </x:c>
      <x:c r="D11" s="67" t="str">
        <x:v>No equivale a medir temperatura de bobinado</x:v>
      </x:c>
    </x:row>
    <x:row r="12" ht="48" customHeight="1">
      <x:c r="A12" s="67" t="str">
        <x:v>Estado del programa</x:v>
      </x:c>
      <x:c r="B12" s="67" t="str">
        <x:v>Ladder preliminar / lazo abierto manual demostrado</x:v>
      </x:c>
      <x:c r="C12" s="67" t="str">
        <x:v>Avance semana 11</x:v>
      </x:c>
      <x:c r="D12" s="67" t="str">
        <x:v>PID, HMI y protección independiente sujetos a instalación/verificación</x:v>
      </x:c>
    </x:row>
    <x:row r="13" ht="48" customHeight="1">
      <x:c r="A13" s="67" t="str">
        <x:v>Uso posterior</x:v>
      </x:c>
      <x:c r="B13" s="67" t="str">
        <x:v>Revisión por equipo técnico y especialista SST/electricidad</x:v>
      </x:c>
      <x:c r="C13" s="67" t="str">
        <x:v>Plan de validación</x:v>
      </x:c>
      <x:c r="D13" s="67" t="str">
        <x:v>Registrar acciones y pruebas FAT/SAT antes de operar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8" hidden="0" customWidth="1"/>
    <x:col min="3" max="3" width="18" hidden="0" customWidth="1"/>
    <x:col min="4" max="4" width="23" hidden="0" customWidth="1"/>
    <x:col min="5" max="5" width="47" hidden="0" customWidth="1"/>
  </x:cols>
  <x:sheetData>
    <x:row r="1" ht="28" customHeight="1">
      <x:c r="A1" s="78" t="str">
        <x:v>Nodo</x:v>
      </x:c>
      <x:c r="B1" s="78" t="str">
        <x:v>Variable</x:v>
      </x:c>
      <x:c r="C1" s="78" t="str">
        <x:v>Desviaciones</x:v>
      </x:c>
      <x:c r="D1" s="78" t="str">
        <x:v>Rango en matriz</x:v>
      </x:c>
      <x:c r="E1" s="78" t="str">
        <x:v>Alcance del nodo</x:v>
      </x:c>
    </x:row>
    <x:row r="2" ht="25" customHeight="1">
      <x:c r="A2" t="str">
        <x:v>N01 · Alimentación general</x:v>
      </x:c>
      <x:c r="B2" t="str">
        <x:v>Energía eléctrica</x:v>
      </x:c>
      <x:c r="C2" t="n">
        <x:v>9</x:v>
      </x:c>
      <x:c r="D2" t="str">
        <x:v>7–15</x:v>
      </x:c>
      <x:c r="E2" t="str">
        <x:v>Alimentación general</x:v>
      </x:c>
    </x:row>
    <x:row r="3" ht="25" customHeight="1">
      <x:c r="A3" t="str">
        <x:v>N02 · Protección de sobrecorriente</x:v>
      </x:c>
      <x:c r="B3" t="str">
        <x:v>Corriente eléctrica</x:v>
      </x:c>
      <x:c r="C3" t="n">
        <x:v>9</x:v>
      </x:c>
      <x:c r="D3" t="str">
        <x:v>16–24</x:v>
      </x:c>
      <x:c r="E3" t="str">
        <x:v>Protección de sobrecorriente</x:v>
      </x:c>
    </x:row>
    <x:row r="4" ht="25" customHeight="1">
      <x:c r="A4" t="str">
        <x:v>N03 · Fuente PS-01 de 24 VCC</x:v>
      </x:c>
      <x:c r="B4" t="str">
        <x:v>Tensión 24 VCC</x:v>
      </x:c>
      <x:c r="C4" t="n">
        <x:v>9</x:v>
      </x:c>
      <x:c r="D4" t="str">
        <x:v>25–33</x:v>
      </x:c>
      <x:c r="E4" t="str">
        <x:v>Fuente PS-01 de 24 VCC</x:v>
      </x:c>
    </x:row>
    <x:row r="5" ht="25" customHeight="1">
      <x:c r="A5" t="str">
        <x:v>N04 · Circuito calefactor EH-01</x:v>
      </x:c>
      <x:c r="B5" t="str">
        <x:v>Potencia térmica</x:v>
      </x:c>
      <x:c r="C5" t="n">
        <x:v>9</x:v>
      </x:c>
      <x:c r="D5" t="str">
        <x:v>34–42</x:v>
      </x:c>
      <x:c r="E5" t="str">
        <x:v>Circuito calefactor EH-01</x:v>
      </x:c>
    </x:row>
    <x:row r="6" ht="25" customHeight="1">
      <x:c r="A6" t="str">
        <x:v>N05 · SSR-01 y disipación</x:v>
      </x:c>
      <x:c r="B6" t="str">
        <x:v>Conducción de potencia</x:v>
      </x:c>
      <x:c r="C6" t="n">
        <x:v>9</x:v>
      </x:c>
      <x:c r="D6" t="str">
        <x:v>43–51</x:v>
      </x:c>
      <x:c r="E6" t="str">
        <x:v>SSR-01 y disipación</x:v>
      </x:c>
    </x:row>
    <x:row r="7" ht="25" customHeight="1">
      <x:c r="A7" t="str">
        <x:v>N06 · Sensor TE-23 PT100</x:v>
      </x:c>
      <x:c r="B7" t="str">
        <x:v>Temperatura medida</x:v>
      </x:c>
      <x:c r="C7" t="n">
        <x:v>9</x:v>
      </x:c>
      <x:c r="D7" t="str">
        <x:v>52–60</x:v>
      </x:c>
      <x:c r="E7" t="str">
        <x:v>Sensor TE-23 PT100</x:v>
      </x:c>
    </x:row>
    <x:row r="8" ht="25" customHeight="1">
      <x:c r="A8" t="str">
        <x:v>N07 · Transmisor TT-23</x:v>
      </x:c>
      <x:c r="B8" t="str">
        <x:v>Señal 4–20 mA PV</x:v>
      </x:c>
      <x:c r="C8" t="n">
        <x:v>9</x:v>
      </x:c>
      <x:c r="D8" t="str">
        <x:v>61–69</x:v>
      </x:c>
      <x:c r="E8" t="str">
        <x:v>Transmisor TT-23</x:v>
      </x:c>
    </x:row>
    <x:row r="9" ht="25" customHeight="1">
      <x:c r="A9" t="str">
        <x:v>N08 · Módulos analógicos PLC</x:v>
      </x:c>
      <x:c r="B9" t="str">
        <x:v>Conversión AI/AO</x:v>
      </x:c>
      <x:c r="C9" t="n">
        <x:v>9</x:v>
      </x:c>
      <x:c r="D9" t="str">
        <x:v>70–78</x:v>
      </x:c>
      <x:c r="E9" t="str">
        <x:v>Módulos analógicos PLC</x:v>
      </x:c>
    </x:row>
    <x:row r="10" ht="25" customHeight="1">
      <x:c r="A10" t="str">
        <x:v>N09 · Control PID TIC-23</x:v>
      </x:c>
      <x:c r="B10" t="str">
        <x:v>Consigna y regulación</x:v>
      </x:c>
      <x:c r="C10" t="n">
        <x:v>9</x:v>
      </x:c>
      <x:c r="D10" t="str">
        <x:v>79–87</x:v>
      </x:c>
      <x:c r="E10" t="str">
        <x:v>Control PID TIC-23</x:v>
      </x:c>
    </x:row>
    <x:row r="11" ht="25" customHeight="1">
      <x:c r="A11" t="str">
        <x:v>N10 · Secuencia y temporizador</x:v>
      </x:c>
      <x:c r="B11" t="str">
        <x:v>Tiempo de curado</x:v>
      </x:c>
      <x:c r="C11" t="n">
        <x:v>9</x:v>
      </x:c>
      <x:c r="D11" t="str">
        <x:v>88–96</x:v>
      </x:c>
      <x:c r="E11" t="str">
        <x:v>Secuencia y temporizador</x:v>
      </x:c>
    </x:row>
    <x:row r="12" ht="25" customHeight="1">
      <x:c r="A12" t="str">
        <x:v>N11 · HMI y comunicación PROFINET</x:v>
      </x:c>
      <x:c r="B12" t="str">
        <x:v>Órdenes y consignas</x:v>
      </x:c>
      <x:c r="C12" t="n">
        <x:v>9</x:v>
      </x:c>
      <x:c r="D12" t="str">
        <x:v>97–105</x:v>
      </x:c>
      <x:c r="E12" t="str">
        <x:v>HMI y comunicación PROFINET</x:v>
      </x:c>
    </x:row>
    <x:row r="13" ht="25" customHeight="1">
      <x:c r="A13" t="str">
        <x:v>N12 · Recirculación F-01</x:v>
      </x:c>
      <x:c r="B13" t="str">
        <x:v>Caudal de aire interno</x:v>
      </x:c>
      <x:c r="C13" t="n">
        <x:v>9</x:v>
      </x:c>
      <x:c r="D13" t="str">
        <x:v>106–114</x:v>
      </x:c>
      <x:c r="E13" t="str">
        <x:v>Recirculación F-01</x:v>
      </x:c>
    </x:row>
    <x:row r="14" ht="25" customHeight="1">
      <x:c r="A14" t="str">
        <x:v>N13 · Extracción/enfriamiento F-02</x:v>
      </x:c>
      <x:c r="B14" t="str">
        <x:v>Extracción de aire</x:v>
      </x:c>
      <x:c r="C14" t="n">
        <x:v>9</x:v>
      </x:c>
      <x:c r="D14" t="str">
        <x:v>115–123</x:v>
      </x:c>
      <x:c r="E14" t="str">
        <x:v>Extracción/enfriamiento F-02</x:v>
      </x:c>
    </x:row>
    <x:row r="15" ht="25" customHeight="1">
      <x:c r="A15" t="str">
        <x:v>N14 · Parada de emergencia HS-01 / K-01</x:v>
      </x:c>
      <x:c r="B15" t="str">
        <x:v>Corte independiente</x:v>
      </x:c>
      <x:c r="C15" t="n">
        <x:v>9</x:v>
      </x:c>
      <x:c r="D15" t="str">
        <x:v>124–132</x:v>
      </x:c>
      <x:c r="E15" t="str">
        <x:v>Parada de emergencia HS-01 / K-01</x:v>
      </x:c>
    </x:row>
    <x:row r="16" ht="25" customHeight="1">
      <x:c r="A16" t="str">
        <x:v>N15 · Termostato TSHH-01</x:v>
      </x:c>
      <x:c r="B16" t="str">
        <x:v>Límite de seguridad</x:v>
      </x:c>
      <x:c r="C16" t="n">
        <x:v>9</x:v>
      </x:c>
      <x:c r="D16" t="str">
        <x:v>133–141</x:v>
      </x:c>
      <x:c r="E16" t="str">
        <x:v>Termostato TSHH-01</x:v>
      </x:c>
    </x:row>
    <x:row r="17" ht="25" customHeight="1">
      <x:c r="A17" t="str">
        <x:v>N16 · Carga, barniz y apertura de puerta</x:v>
      </x:c>
      <x:c r="B17" t="str">
        <x:v>Exposición de bobinado</x:v>
      </x:c>
      <x:c r="C17" t="n">
        <x:v>9</x:v>
      </x:c>
      <x:c r="D17" t="str">
        <x:v>142–150</x:v>
      </x:c>
      <x:c r="E17" t="str">
        <x:v>Carga, barniz y apertura de puerta</x:v>
      </x:c>
    </x:row>
  </x:sheetData>
  <x:pageMargins left="0.7" right="0.7" top="0.75" bottom="0.75" header="0.3" footer="0.3"/>
</x:worksheet>
</file>